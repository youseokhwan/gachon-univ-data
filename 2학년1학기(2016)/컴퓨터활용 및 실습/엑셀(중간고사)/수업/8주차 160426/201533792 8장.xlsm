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60" windowWidth="19440" windowHeight="12555"/>
  </bookViews>
  <sheets>
    <sheet name="8장연습문제" sheetId="5" r:id="rId1"/>
  </sheets>
  <externalReferences>
    <externalReference r:id="rId2"/>
  </externalReferences>
  <definedNames>
    <definedName name="_xlnm._FilterDatabase" localSheetId="0" hidden="1">'8장연습문제'!$A$3:$K$28</definedName>
    <definedName name="aa" localSheetId="0">#REF!</definedName>
    <definedName name="aa">#REF!</definedName>
    <definedName name="aaa" localSheetId="0">#REF!</definedName>
    <definedName name="aaa">#REF!</definedName>
    <definedName name="anscount" hidden="1">1</definedName>
    <definedName name="Beg_Bal" localSheetId="0">#REF!</definedName>
    <definedName name="Beg_Bal">#REF!</definedName>
    <definedName name="Cum_Int" localSheetId="0">#REF!</definedName>
    <definedName name="Cum_Int">#REF!</definedName>
    <definedName name="End_Bal" localSheetId="0">#REF!</definedName>
    <definedName name="End_Bal">#REF!</definedName>
    <definedName name="Extra_Pay" localSheetId="0">#REF!</definedName>
    <definedName name="Extra_Pay">#REF!</definedName>
    <definedName name="Full_Print" localSheetId="0">#REF!</definedName>
    <definedName name="Full_Print">#REF!</definedName>
    <definedName name="Header_Row" localSheetId="0">ROW(#REF!)</definedName>
    <definedName name="Header_Row">ROW(#REF!)</definedName>
    <definedName name="Int" localSheetId="0">#REF!</definedName>
    <definedName name="Int">#REF!</definedName>
    <definedName name="Interest_Rate" localSheetId="0">#REF!</definedName>
    <definedName name="Interest_Rate">#REF!</definedName>
    <definedName name="Last_Row" localSheetId="0">IF('8장연습문제'!Values_Entered,'8장연습문제'!Header_Row+'8장연습문제'!Number_of_Payments,'8장연습문제'!Header_Row)</definedName>
    <definedName name="Last_Row">IF(Values_Entered,Header_Row+Number_of_Payments,Header_Row)</definedName>
    <definedName name="Loan_Amount" localSheetId="0">#REF!</definedName>
    <definedName name="Loan_Amount">#REF!</definedName>
    <definedName name="Loan_Start" localSheetId="0">#REF!</definedName>
    <definedName name="Loan_Start">#REF!</definedName>
    <definedName name="Loan_Years" localSheetId="0">#REF!</definedName>
    <definedName name="Loan_Years">#REF!</definedName>
    <definedName name="Num_Pmt_Per_Year" localSheetId="0">#REF!</definedName>
    <definedName name="Num_Pmt_Per_Year">#REF!</definedName>
    <definedName name="Number_of_Payments" localSheetId="0">MATCH(0.01,'8장연습문제'!End_Bal,-1)+1</definedName>
    <definedName name="Number_of_Payments">MATCH(0.01,End_Bal,-1)+1</definedName>
    <definedName name="Pay_Date" localSheetId="0">#REF!</definedName>
    <definedName name="Pay_Date">#REF!</definedName>
    <definedName name="Pay_Num" localSheetId="0">#REF!</definedName>
    <definedName name="Pay_Num">#REF!</definedName>
    <definedName name="Payment_Date" localSheetId="0">DATE(YEAR('8장연습문제'!Loan_Start),MONTH('8장연습문제'!Loan_Start)+Payment_Number,DAY('8장연습문제'!Loan_Start))</definedName>
    <definedName name="Payment_Date">DATE(YEAR(Loan_Start),MONTH(Loan_Start)+Payment_Number,DAY(Loan_Start))</definedName>
    <definedName name="Princ" localSheetId="0">#REF!</definedName>
    <definedName name="Princ">#REF!</definedName>
    <definedName name="Print_Area_Reset" localSheetId="0">OFFSET('8장연습문제'!Full_Print,0,0,'8장연습문제'!Last_Row)</definedName>
    <definedName name="Print_Area_Reset">OFFSET(Full_Print,0,0,Last_Row)</definedName>
    <definedName name="Sched_Pay" localSheetId="0">#REF!</definedName>
    <definedName name="Sched_Pay">#REF!</definedName>
    <definedName name="Scheduled_Extra_Payments" localSheetId="0">#REF!</definedName>
    <definedName name="Scheduled_Extra_Payments">#REF!</definedName>
    <definedName name="Scheduled_Interest_Rate" localSheetId="0">#REF!</definedName>
    <definedName name="Scheduled_Interest_Rate">#REF!</definedName>
    <definedName name="Scheduled_Monthly_Payment" localSheetId="0">#REF!</definedName>
    <definedName name="Scheduled_Monthly_Payment">#REF!</definedName>
    <definedName name="Total_Interest" localSheetId="0">#REF!</definedName>
    <definedName name="Total_Interest">#REF!</definedName>
    <definedName name="Total_Pay" localSheetId="0">#REF!</definedName>
    <definedName name="Total_Pay">#REF!</definedName>
    <definedName name="Values_Entered" localSheetId="0">IF('8장연습문제'!Loan_Amount*'8장연습문제'!Interest_Rate*'8장연습문제'!Loan_Years*'8장연습문제'!Loan_Start&gt;0,1,0)</definedName>
    <definedName name="Values_Entered">IF(Loan_Amount*Interest_Rate*Loan_Years*Loan_Start&gt;0,1,0)</definedName>
    <definedName name="규격" localSheetId="0">#REF!</definedName>
    <definedName name="규격">#REF!</definedName>
    <definedName name="단가" localSheetId="0">#REF!</definedName>
    <definedName name="단가">#REF!</definedName>
    <definedName name="데이터" localSheetId="0">#REF!</definedName>
    <definedName name="데이터">#REF!</definedName>
    <definedName name="유니폼">OFFSET([1]유니폼!$A$4,0,0,COUNTA([1]유니폼!$A$4:$A$65536),6)</definedName>
    <definedName name="학과설정" localSheetId="0">#REF!</definedName>
    <definedName name="학과설정">#REF!</definedName>
    <definedName name="학과설정1" localSheetId="0">#REF!</definedName>
    <definedName name="학과설정1">#REF!</definedName>
    <definedName name="학번" localSheetId="0">#REF!</definedName>
    <definedName name="학번">#REF!</definedName>
  </definedNames>
  <calcPr calcId="144525"/>
</workbook>
</file>

<file path=xl/calcChain.xml><?xml version="1.0" encoding="utf-8"?>
<calcChain xmlns="http://schemas.openxmlformats.org/spreadsheetml/2006/main">
  <c r="H30" i="5" l="1"/>
  <c r="H29" i="5"/>
  <c r="H25" i="5"/>
  <c r="H21" i="5"/>
  <c r="H17" i="5"/>
  <c r="H12" i="5"/>
  <c r="H7" i="5"/>
  <c r="I28" i="5" l="1"/>
  <c r="H28" i="5"/>
  <c r="I27" i="5"/>
  <c r="H27" i="5"/>
  <c r="I26" i="5"/>
  <c r="H26" i="5"/>
  <c r="I24" i="5"/>
  <c r="H24" i="5"/>
  <c r="I23" i="5"/>
  <c r="H23" i="5"/>
  <c r="I22" i="5"/>
  <c r="H22" i="5"/>
  <c r="I20" i="5"/>
  <c r="H20" i="5"/>
  <c r="I19" i="5"/>
  <c r="H19" i="5"/>
  <c r="I18" i="5"/>
  <c r="H18" i="5"/>
  <c r="I16" i="5"/>
  <c r="H16" i="5"/>
  <c r="I15" i="5"/>
  <c r="H15" i="5"/>
  <c r="I14" i="5"/>
  <c r="H14" i="5"/>
  <c r="I13" i="5"/>
  <c r="H13" i="5"/>
  <c r="I11" i="5"/>
  <c r="H11" i="5"/>
  <c r="I10" i="5"/>
  <c r="H10" i="5"/>
  <c r="I9" i="5"/>
  <c r="H9" i="5"/>
  <c r="I8" i="5"/>
  <c r="H8" i="5"/>
  <c r="I6" i="5"/>
  <c r="H6" i="5"/>
  <c r="I5" i="5"/>
  <c r="H5" i="5"/>
  <c r="I4" i="5"/>
  <c r="H4" i="5"/>
  <c r="J6" i="5" l="1"/>
  <c r="J27" i="5"/>
  <c r="J4" i="5"/>
  <c r="J5" i="5"/>
  <c r="J8" i="5"/>
  <c r="J10" i="5"/>
  <c r="J13" i="5"/>
  <c r="J15" i="5"/>
  <c r="J18" i="5"/>
  <c r="J20" i="5"/>
  <c r="J23" i="5"/>
  <c r="J26" i="5"/>
  <c r="J28" i="5"/>
  <c r="J9" i="5"/>
  <c r="J11" i="5"/>
  <c r="J14" i="5"/>
  <c r="J16" i="5"/>
  <c r="J19" i="5"/>
  <c r="J22" i="5"/>
  <c r="J24" i="5"/>
</calcChain>
</file>

<file path=xl/sharedStrings.xml><?xml version="1.0" encoding="utf-8"?>
<sst xmlns="http://schemas.openxmlformats.org/spreadsheetml/2006/main" count="79" uniqueCount="54">
  <si>
    <t>학번</t>
    <phoneticPr fontId="3" type="noConversion"/>
  </si>
  <si>
    <t>학과</t>
    <phoneticPr fontId="3" type="noConversion"/>
  </si>
  <si>
    <t>학년</t>
    <phoneticPr fontId="3" type="noConversion"/>
  </si>
  <si>
    <t>이름</t>
    <phoneticPr fontId="3" type="noConversion"/>
  </si>
  <si>
    <t>실용컴퓨터</t>
    <phoneticPr fontId="3" type="noConversion"/>
  </si>
  <si>
    <t>영어회화</t>
    <phoneticPr fontId="3" type="noConversion"/>
  </si>
  <si>
    <t>한문</t>
    <phoneticPr fontId="3" type="noConversion"/>
  </si>
  <si>
    <t>총점</t>
    <phoneticPr fontId="3" type="noConversion"/>
  </si>
  <si>
    <t>평균</t>
    <phoneticPr fontId="3" type="noConversion"/>
  </si>
  <si>
    <t>등수</t>
    <phoneticPr fontId="3" type="noConversion"/>
  </si>
  <si>
    <t>학점</t>
    <phoneticPr fontId="3" type="noConversion"/>
  </si>
  <si>
    <t>경영학과</t>
    <phoneticPr fontId="3" type="noConversion"/>
  </si>
  <si>
    <t>김지영</t>
    <phoneticPr fontId="3" type="noConversion"/>
  </si>
  <si>
    <t>학과별 성적표</t>
    <phoneticPr fontId="3" type="noConversion"/>
  </si>
  <si>
    <t>경영학과</t>
    <phoneticPr fontId="3" type="noConversion"/>
  </si>
  <si>
    <t>이소연</t>
    <phoneticPr fontId="3" type="noConversion"/>
  </si>
  <si>
    <t>이진혁</t>
    <phoneticPr fontId="3" type="noConversion"/>
  </si>
  <si>
    <t>데이터정보학과</t>
    <phoneticPr fontId="3" type="noConversion"/>
  </si>
  <si>
    <t>김영수</t>
    <phoneticPr fontId="3" type="noConversion"/>
  </si>
  <si>
    <t>김민수</t>
    <phoneticPr fontId="3" type="noConversion"/>
  </si>
  <si>
    <t>박미혜</t>
    <phoneticPr fontId="3" type="noConversion"/>
  </si>
  <si>
    <t>최성호</t>
    <phoneticPr fontId="3" type="noConversion"/>
  </si>
  <si>
    <t>영문학과</t>
    <phoneticPr fontId="3" type="noConversion"/>
  </si>
  <si>
    <t>강동수</t>
    <phoneticPr fontId="3" type="noConversion"/>
  </si>
  <si>
    <t>이민지</t>
    <phoneticPr fontId="3" type="noConversion"/>
  </si>
  <si>
    <t>최소라</t>
    <phoneticPr fontId="3" type="noConversion"/>
  </si>
  <si>
    <t>허민욱</t>
    <phoneticPr fontId="3" type="noConversion"/>
  </si>
  <si>
    <t>간호학과</t>
    <phoneticPr fontId="3" type="noConversion"/>
  </si>
  <si>
    <t>이민정</t>
    <phoneticPr fontId="3" type="noConversion"/>
  </si>
  <si>
    <t>김미영</t>
    <phoneticPr fontId="3" type="noConversion"/>
  </si>
  <si>
    <t>박지혜</t>
    <phoneticPr fontId="3" type="noConversion"/>
  </si>
  <si>
    <t>의용공학과</t>
    <phoneticPr fontId="3" type="noConversion"/>
  </si>
  <si>
    <t>한혜란</t>
    <phoneticPr fontId="3" type="noConversion"/>
  </si>
  <si>
    <t>김혜수</t>
    <phoneticPr fontId="3" type="noConversion"/>
  </si>
  <si>
    <t>박미리</t>
    <phoneticPr fontId="3" type="noConversion"/>
  </si>
  <si>
    <t>컴퓨터공학과</t>
    <phoneticPr fontId="3" type="noConversion"/>
  </si>
  <si>
    <t>강수지</t>
    <phoneticPr fontId="3" type="noConversion"/>
  </si>
  <si>
    <t>박명호</t>
    <phoneticPr fontId="3" type="noConversion"/>
  </si>
  <si>
    <t>황민수</t>
    <phoneticPr fontId="3" type="noConversion"/>
  </si>
  <si>
    <t>B</t>
  </si>
  <si>
    <t>C</t>
  </si>
  <si>
    <t>F</t>
  </si>
  <si>
    <t>B+</t>
  </si>
  <si>
    <t>A+</t>
  </si>
  <si>
    <t>A</t>
  </si>
  <si>
    <t>C+</t>
  </si>
  <si>
    <t>D</t>
  </si>
  <si>
    <t>경영학과 평균</t>
  </si>
  <si>
    <t>데이터정보학과 평균</t>
  </si>
  <si>
    <t>영문학과 평균</t>
  </si>
  <si>
    <t>간호학과 평균</t>
  </si>
  <si>
    <t>의용공학과 평균</t>
  </si>
  <si>
    <t>컴퓨터공학과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</si>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</sst>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_-* #,##0\ _F_-;\-* #,##0\ _F_-;_-* &quot;-&quot;\ _F_-;_-@_-"/>
    <numFmt numFmtId="178" formatCode="_-* #,##0.00\ _F_-;\-* #,##0.00\ _F_-;_-* &quot;-&quot;??\ _F_-;_-@_-"/>
    <numFmt numFmtId="179" formatCode="_-* #,##0\ &quot;F&quot;_-;\-* #,##0\ &quot;F&quot;_-;_-* &quot;-&quot;\ &quot;F&quot;_-;_-@_-"/>
    <numFmt numFmtId="180" formatCode="_-* #,##0.00\ &quot;F&quot;_-;\-* #,##0.00\ &quot;F&quot;_-;_-* &quot;-&quot;??\ &quot;F&quot;_-;_-@_-"/>
    <numFmt numFmtId="181" formatCode="[Blue]#,##0;[Red]\-#,##0;[Green]0"/>
    <numFmt numFmtId="182" formatCode="_(* #,##0_);_(* \(#,##0\);_(* &quot;-&quot;_);_(@_)"/>
    <numFmt numFmtId="183" formatCode="#,##0;&quot;-&quot;#,##0"/>
    <numFmt numFmtId="184" formatCode="0.00000&quot;  &quot;"/>
    <numFmt numFmtId="185" formatCode="_-[$₩-412]* #,##0_-;\-[$₩-412]* #,##0_-;_-[$₩-412]* &quot;-&quot;_-;_-@_-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6"/>
      <color theme="1"/>
      <name val="맑은 고딕"/>
      <family val="2"/>
      <charset val="129"/>
      <scheme val="minor"/>
    </font>
    <font>
      <sz val="26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돋움"/>
      <family val="2"/>
    </font>
    <font>
      <b/>
      <sz val="10"/>
      <name val="Helv"/>
      <family val="2"/>
    </font>
    <font>
      <sz val="10"/>
      <name val="Times New Roman"/>
      <family val="1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rgb="FFFA7D00"/>
      <name val="돋움"/>
      <family val="2"/>
    </font>
    <font>
      <sz val="11"/>
      <name val="돋움"/>
      <family val="3"/>
      <charset val="129"/>
    </font>
    <font>
      <sz val="11"/>
      <name val="돋움체"/>
      <family val="3"/>
      <charset val="129"/>
    </font>
    <font>
      <sz val="11"/>
      <color rgb="FF3F3F76"/>
      <name val="돋움"/>
      <family val="2"/>
    </font>
    <font>
      <b/>
      <sz val="18"/>
      <color theme="3"/>
      <name val="맑은 고딕"/>
      <family val="2"/>
      <scheme val="major"/>
    </font>
    <font>
      <sz val="10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6">
    <xf numFmtId="0" fontId="0" fillId="0" borderId="0">
      <alignment vertical="center"/>
    </xf>
    <xf numFmtId="0" fontId="1" fillId="4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1" fillId="5" borderId="0" applyNumberFormat="0" applyBorder="0" applyAlignment="0" applyProtection="0">
      <alignment vertical="center"/>
    </xf>
    <xf numFmtId="0" fontId="9" fillId="0" borderId="0"/>
    <xf numFmtId="177" fontId="10" fillId="0" borderId="0" applyFont="0" applyFill="0" applyBorder="0" applyAlignment="0" applyProtection="0"/>
    <xf numFmtId="178" fontId="10" fillId="0" borderId="0" applyFont="0" applyFill="0" applyBorder="0" applyAlignment="0" applyProtection="0"/>
    <xf numFmtId="179" fontId="10" fillId="0" borderId="0" applyFont="0" applyFill="0" applyBorder="0" applyAlignment="0" applyProtection="0"/>
    <xf numFmtId="180" fontId="10" fillId="0" borderId="0" applyFont="0" applyFill="0" applyBorder="0" applyAlignment="0" applyProtection="0"/>
    <xf numFmtId="38" fontId="11" fillId="10" borderId="0" applyNumberFormat="0" applyBorder="0" applyAlignment="0" applyProtection="0"/>
    <xf numFmtId="0" fontId="12" fillId="0" borderId="0">
      <alignment horizontal="left"/>
    </xf>
    <xf numFmtId="0" fontId="13" fillId="0" borderId="4" applyNumberFormat="0" applyAlignment="0" applyProtection="0">
      <alignment horizontal="left" vertical="center"/>
    </xf>
    <xf numFmtId="0" fontId="13" fillId="0" borderId="2">
      <alignment horizontal="left" vertical="center"/>
    </xf>
    <xf numFmtId="10" fontId="11" fillId="10" borderId="3" applyNumberFormat="0" applyBorder="0" applyAlignment="0" applyProtection="0"/>
    <xf numFmtId="0" fontId="14" fillId="0" borderId="5"/>
    <xf numFmtId="181" fontId="15" fillId="0" borderId="0"/>
    <xf numFmtId="0" fontId="10" fillId="0" borderId="0"/>
    <xf numFmtId="10" fontId="16" fillId="0" borderId="0" applyFont="0" applyFill="0" applyBorder="0" applyAlignment="0" applyProtection="0"/>
    <xf numFmtId="0" fontId="14" fillId="0" borderId="0"/>
    <xf numFmtId="0" fontId="17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3" borderId="1" applyNumberFormat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82" fontId="19" fillId="0" borderId="0" applyFont="0" applyFill="0" applyBorder="0" applyAlignment="0" applyProtection="0"/>
    <xf numFmtId="41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0" fillId="0" borderId="0" applyFont="0" applyFill="0" applyBorder="0" applyAlignment="0" applyProtection="0"/>
    <xf numFmtId="0" fontId="21" fillId="2" borderId="1" applyNumberFormat="0" applyAlignment="0" applyProtection="0"/>
    <xf numFmtId="0" fontId="22" fillId="0" borderId="0" applyNumberFormat="0" applyFill="0" applyBorder="0" applyAlignment="0" applyProtection="0">
      <alignment vertical="center"/>
    </xf>
    <xf numFmtId="183" fontId="15" fillId="0" borderId="0" applyFont="0" applyFill="0" applyBorder="0" applyAlignment="0" applyProtection="0"/>
    <xf numFmtId="184" fontId="15" fillId="0" borderId="0" applyFont="0" applyFill="0" applyBorder="0" applyAlignment="0" applyProtection="0"/>
    <xf numFmtId="42" fontId="19" fillId="0" borderId="0" applyFont="0" applyFill="0" applyBorder="0" applyAlignment="0" applyProtection="0">
      <alignment vertical="center"/>
    </xf>
    <xf numFmtId="185" fontId="23" fillId="0" borderId="0" applyFont="0" applyFill="0" applyBorder="0" applyAlignment="0" applyProtection="0"/>
    <xf numFmtId="0" fontId="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6" fillId="0" borderId="0"/>
    <xf numFmtId="0" fontId="19" fillId="0" borderId="0"/>
    <xf numFmtId="0" fontId="1" fillId="0" borderId="0">
      <alignment vertical="center"/>
    </xf>
    <xf numFmtId="0" fontId="2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1">
    <xf numFmtId="0" fontId="0" fillId="0" borderId="0" xfId="0">
      <alignment vertical="center"/>
    </xf>
    <xf numFmtId="176" fontId="2" fillId="8" borderId="2" xfId="0" applyNumberFormat="1" applyFont="1" applyFill="1" applyBorder="1" applyAlignment="1">
      <alignment horizontal="center" vertical="center"/>
    </xf>
    <xf numFmtId="176" fontId="6" fillId="8" borderId="2" xfId="0" applyNumberFormat="1" applyFont="1" applyFill="1" applyBorder="1" applyAlignment="1">
      <alignment horizontal="center" vertical="center"/>
    </xf>
    <xf numFmtId="176" fontId="7" fillId="0" borderId="2" xfId="0" applyNumberFormat="1" applyFont="1" applyFill="1" applyBorder="1" applyAlignment="1">
      <alignment horizontal="center" vertical="center"/>
    </xf>
    <xf numFmtId="176" fontId="7" fillId="0" borderId="2" xfId="0" applyNumberFormat="1" applyFont="1" applyFill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25" fillId="0" borderId="2" xfId="0" applyNumberFormat="1" applyFont="1" applyFill="1" applyBorder="1" applyAlignment="1">
      <alignment horizontal="center" vertical="center"/>
    </xf>
    <xf numFmtId="176" fontId="7" fillId="0" borderId="0" xfId="0" applyNumberFormat="1" applyFont="1" applyFill="1" applyBorder="1" applyAlignment="1">
      <alignment horizontal="center" vertical="center"/>
    </xf>
    <xf numFmtId="176" fontId="7" fillId="0" borderId="0" xfId="0" applyNumberFormat="1" applyFont="1" applyFill="1" applyBorder="1" applyAlignment="1">
      <alignment horizontal="right" vertical="center"/>
    </xf>
    <xf numFmtId="176" fontId="25" fillId="0" borderId="0" xfId="0" applyNumberFormat="1" applyFont="1" applyFill="1" applyBorder="1" applyAlignment="1">
      <alignment horizontal="center" vertical="center"/>
    </xf>
  </cellXfs>
  <cellStyles count="56">
    <cellStyle name="20% - 강조색2 2" xfId="1"/>
    <cellStyle name="20% - 강조색3 2" xfId="2"/>
    <cellStyle name="40% - 강조색2 2" xfId="3"/>
    <cellStyle name="category" xfId="4"/>
    <cellStyle name="Comma [0]_MATERAL2" xfId="5"/>
    <cellStyle name="Comma_MATERAL2" xfId="6"/>
    <cellStyle name="Currency [0]_MATERAL2" xfId="7"/>
    <cellStyle name="Currency_MATERAL2" xfId="8"/>
    <cellStyle name="Grey" xfId="9"/>
    <cellStyle name="HEADER" xfId="10"/>
    <cellStyle name="Header1" xfId="11"/>
    <cellStyle name="Header2" xfId="12"/>
    <cellStyle name="Input [yellow]" xfId="13"/>
    <cellStyle name="Model" xfId="14"/>
    <cellStyle name="Normal - Style1" xfId="15"/>
    <cellStyle name="Normal_Certs Q2" xfId="16"/>
    <cellStyle name="Percent [2]" xfId="17"/>
    <cellStyle name="subhead" xfId="18"/>
    <cellStyle name="강조색3 2" xfId="19"/>
    <cellStyle name="강조색6 2" xfId="20"/>
    <cellStyle name="계산 2" xfId="21"/>
    <cellStyle name="백분율 2" xfId="22"/>
    <cellStyle name="백분율 2 2" xfId="23"/>
    <cellStyle name="백분율 2 3" xfId="24"/>
    <cellStyle name="백분율 3" xfId="25"/>
    <cellStyle name="쉼표 [0] 2" xfId="26"/>
    <cellStyle name="쉼표 [0] 2 2" xfId="27"/>
    <cellStyle name="쉼표 [0] 2 2 2" xfId="28"/>
    <cellStyle name="쉼표 [0] 2 3" xfId="29"/>
    <cellStyle name="쉼표 [0] 2 4" xfId="30"/>
    <cellStyle name="쉼표 [0] 3" xfId="31"/>
    <cellStyle name="쉼표 [0] 3 2" xfId="32"/>
    <cellStyle name="쉼표 [0] 4" xfId="33"/>
    <cellStyle name="입력 2" xfId="34"/>
    <cellStyle name="제목 5" xfId="35"/>
    <cellStyle name="콤마 [0]_10' 0.26D MS" xfId="36"/>
    <cellStyle name="콤마_10' 0.26D MS" xfId="37"/>
    <cellStyle name="통화 [0] 2" xfId="38"/>
    <cellStyle name="통화 2" xfId="39"/>
    <cellStyle name="표준" xfId="0" builtinId="0"/>
    <cellStyle name="표준 10" xfId="40"/>
    <cellStyle name="표준 2" xfId="41"/>
    <cellStyle name="표준 2 2" xfId="42"/>
    <cellStyle name="표준 2 3" xfId="43"/>
    <cellStyle name="표준 2 4" xfId="44"/>
    <cellStyle name="표준 3" xfId="45"/>
    <cellStyle name="표준 3 2" xfId="46"/>
    <cellStyle name="표준 3 3" xfId="47"/>
    <cellStyle name="표준 4" xfId="48"/>
    <cellStyle name="표준 5" xfId="49"/>
    <cellStyle name="표준 6" xfId="50"/>
    <cellStyle name="표준 7" xfId="51"/>
    <cellStyle name="표준 8" xfId="52"/>
    <cellStyle name="표준 8 2" xfId="53"/>
    <cellStyle name="표준 9" xfId="54"/>
    <cellStyle name="표준 9 2" xfId="5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31</xdr:row>
          <xdr:rowOff>200025</xdr:rowOff>
        </xdr:from>
        <xdr:to>
          <xdr:col>2</xdr:col>
          <xdr:colOff>9525</xdr:colOff>
          <xdr:row>34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과별 총점의 평균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31</xdr:row>
          <xdr:rowOff>190500</xdr:rowOff>
        </xdr:from>
        <xdr:to>
          <xdr:col>4</xdr:col>
          <xdr:colOff>666750</xdr:colOff>
          <xdr:row>34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부분합제거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31</xdr:row>
          <xdr:rowOff>180975</xdr:rowOff>
        </xdr:from>
        <xdr:to>
          <xdr:col>7</xdr:col>
          <xdr:colOff>304800</xdr:colOff>
          <xdr:row>34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학과필터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31</xdr:row>
          <xdr:rowOff>171450</xdr:rowOff>
        </xdr:from>
        <xdr:to>
          <xdr:col>10</xdr:col>
          <xdr:colOff>295275</xdr:colOff>
          <xdr:row>34</xdr:row>
          <xdr:rowOff>133350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학과필터제거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50724;&#53916;&#48169;&#47928;&#49464;&#48120;&#45208;\&#45936;&#51060;&#53552;_&#54588;&#4827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건물임대"/>
      <sheetName val="직원명부"/>
      <sheetName val="성적자료"/>
      <sheetName val="유니폼"/>
      <sheetName val="관리비 통지서"/>
      <sheetName val="세대별 관리비"/>
      <sheetName val="2003년"/>
      <sheetName val="2004년"/>
      <sheetName val="2005년"/>
      <sheetName val="판매"/>
      <sheetName val="상반기"/>
      <sheetName val="하반기"/>
      <sheetName val="통합"/>
      <sheetName val="소스"/>
      <sheetName val="피벗테이블"/>
      <sheetName val="다중통합피벗"/>
      <sheetName val="1월"/>
      <sheetName val="2월"/>
      <sheetName val="3월"/>
    </sheetNames>
    <sheetDataSet>
      <sheetData sheetId="0" refreshError="1"/>
      <sheetData sheetId="1" refreshError="1"/>
      <sheetData sheetId="2" refreshError="1"/>
      <sheetData sheetId="3">
        <row r="4">
          <cell r="A4" t="str">
            <v>부서</v>
          </cell>
        </row>
        <row r="5">
          <cell r="A5" t="str">
            <v>홍보팀</v>
          </cell>
        </row>
        <row r="6">
          <cell r="A6" t="str">
            <v>인사팀</v>
          </cell>
        </row>
        <row r="7">
          <cell r="A7" t="str">
            <v>인사팀</v>
          </cell>
        </row>
        <row r="8">
          <cell r="A8" t="str">
            <v>기획팀</v>
          </cell>
        </row>
        <row r="9">
          <cell r="A9" t="str">
            <v>총무팀</v>
          </cell>
        </row>
        <row r="10">
          <cell r="A10" t="str">
            <v>인사팀</v>
          </cell>
        </row>
        <row r="11">
          <cell r="A11" t="str">
            <v>홍보팀</v>
          </cell>
        </row>
        <row r="12">
          <cell r="A12" t="str">
            <v>인사팀</v>
          </cell>
        </row>
        <row r="13">
          <cell r="A13" t="str">
            <v>기획팀</v>
          </cell>
        </row>
        <row r="14">
          <cell r="A14" t="str">
            <v>인사팀</v>
          </cell>
        </row>
        <row r="15">
          <cell r="A15" t="str">
            <v>총무팀</v>
          </cell>
        </row>
        <row r="16">
          <cell r="A16" t="str">
            <v>홍보팀</v>
          </cell>
        </row>
        <row r="17">
          <cell r="A17" t="str">
            <v>기획팀</v>
          </cell>
        </row>
        <row r="18">
          <cell r="A18" t="str">
            <v>총무팀</v>
          </cell>
        </row>
        <row r="19">
          <cell r="A19" t="str">
            <v>인사팀</v>
          </cell>
        </row>
        <row r="20">
          <cell r="A20" t="str">
            <v>기획팀</v>
          </cell>
        </row>
        <row r="21">
          <cell r="A21" t="str">
            <v>기획팀</v>
          </cell>
        </row>
        <row r="22">
          <cell r="A22" t="str">
            <v>총무팀</v>
          </cell>
        </row>
        <row r="23">
          <cell r="A23" t="str">
            <v>총무팀</v>
          </cell>
        </row>
        <row r="24">
          <cell r="A24" t="str">
            <v>기획팀</v>
          </cell>
        </row>
        <row r="25">
          <cell r="A25" t="str">
            <v>홍보팀</v>
          </cell>
        </row>
        <row r="26">
          <cell r="A26" t="str">
            <v>기획팀</v>
          </cell>
        </row>
        <row r="27">
          <cell r="A27" t="str">
            <v>인사팀</v>
          </cell>
        </row>
      </sheetData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30"/>
  <sheetViews>
    <sheetView tabSelected="1" topLeftCell="A4" workbookViewId="0">
      <selection activeCell="K28" sqref="K28"/>
    </sheetView>
  </sheetViews>
  <sheetFormatPr defaultRowHeight="16.5" outlineLevelRow="2" x14ac:dyDescent="0.3"/>
  <cols>
    <col min="1" max="1" width="10.125" bestFit="1" customWidth="1"/>
    <col min="2" max="2" width="15.125" bestFit="1" customWidth="1"/>
    <col min="3" max="3" width="7.375" customWidth="1"/>
    <col min="4" max="4" width="7.125" bestFit="1" customWidth="1"/>
    <col min="5" max="5" width="11.375" bestFit="1" customWidth="1"/>
    <col min="6" max="6" width="9.375" bestFit="1" customWidth="1"/>
    <col min="7" max="11" width="7.375" customWidth="1"/>
  </cols>
  <sheetData>
    <row r="1" spans="1:11" ht="39" x14ac:dyDescent="0.3">
      <c r="A1" s="5" t="s">
        <v>13</v>
      </c>
      <c r="B1" s="6"/>
      <c r="C1" s="6"/>
      <c r="D1" s="6"/>
      <c r="E1" s="6"/>
      <c r="F1" s="6"/>
      <c r="G1" s="6"/>
      <c r="H1" s="6"/>
      <c r="I1" s="6"/>
      <c r="J1" s="6"/>
      <c r="K1" s="6"/>
    </row>
    <row r="3" spans="1:11" ht="18" customHeight="1" x14ac:dyDescent="0.3">
      <c r="A3" s="1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2" t="s">
        <v>9</v>
      </c>
      <c r="K3" s="2" t="s">
        <v>10</v>
      </c>
    </row>
    <row r="4" spans="1:11" ht="18" customHeight="1" outlineLevel="2" x14ac:dyDescent="0.3">
      <c r="A4" s="3">
        <v>20131234</v>
      </c>
      <c r="B4" s="3" t="s">
        <v>11</v>
      </c>
      <c r="C4" s="3">
        <v>1</v>
      </c>
      <c r="D4" s="3" t="s">
        <v>12</v>
      </c>
      <c r="E4" s="4">
        <v>85</v>
      </c>
      <c r="F4" s="4">
        <v>75</v>
      </c>
      <c r="G4" s="4">
        <v>86</v>
      </c>
      <c r="H4" s="4">
        <f>SUM(E4:G4)</f>
        <v>246</v>
      </c>
      <c r="I4" s="4">
        <f>AVERAGE(E4:G4)</f>
        <v>82</v>
      </c>
      <c r="J4" s="4">
        <f>_xlfn.RANK.EQ(I4,$I$4:$I$28)</f>
        <v>9</v>
      </c>
      <c r="K4" s="3" t="s">
        <v>39</v>
      </c>
    </row>
    <row r="5" spans="1:11" ht="18" customHeight="1" outlineLevel="2" x14ac:dyDescent="0.3">
      <c r="A5" s="3">
        <v>20131272</v>
      </c>
      <c r="B5" s="3" t="s">
        <v>14</v>
      </c>
      <c r="C5" s="3">
        <v>1</v>
      </c>
      <c r="D5" s="3" t="s">
        <v>15</v>
      </c>
      <c r="E5" s="4">
        <v>75</v>
      </c>
      <c r="F5" s="4">
        <v>65</v>
      </c>
      <c r="G5" s="4">
        <v>78</v>
      </c>
      <c r="H5" s="4">
        <f t="shared" ref="H5:H28" si="0">SUM(E5:G5)</f>
        <v>218</v>
      </c>
      <c r="I5" s="4">
        <f t="shared" ref="I5:I28" si="1">AVERAGE(E5:G5)</f>
        <v>72.666666666666671</v>
      </c>
      <c r="J5" s="4">
        <f>_xlfn.RANK.EQ(I5,$I$4:$I$28)</f>
        <v>14</v>
      </c>
      <c r="K5" s="3" t="s">
        <v>40</v>
      </c>
    </row>
    <row r="6" spans="1:11" ht="18" customHeight="1" outlineLevel="2" x14ac:dyDescent="0.3">
      <c r="A6" s="3">
        <v>20131278</v>
      </c>
      <c r="B6" s="3" t="s">
        <v>11</v>
      </c>
      <c r="C6" s="3">
        <v>1</v>
      </c>
      <c r="D6" s="3" t="s">
        <v>16</v>
      </c>
      <c r="E6" s="4">
        <v>96</v>
      </c>
      <c r="F6" s="4">
        <v>77</v>
      </c>
      <c r="G6" s="4">
        <v>67</v>
      </c>
      <c r="H6" s="4">
        <f t="shared" si="0"/>
        <v>240</v>
      </c>
      <c r="I6" s="4">
        <f t="shared" si="1"/>
        <v>80</v>
      </c>
      <c r="J6" s="4">
        <f>_xlfn.RANK.EQ(I6,$I$4:$I$28)</f>
        <v>11</v>
      </c>
      <c r="K6" s="3" t="s">
        <v>39</v>
      </c>
    </row>
    <row r="7" spans="1:11" ht="18" customHeight="1" outlineLevel="1" x14ac:dyDescent="0.3">
      <c r="A7" s="3"/>
      <c r="B7" s="7" t="s">
        <v>47</v>
      </c>
      <c r="C7" s="3"/>
      <c r="D7" s="3"/>
      <c r="E7" s="4"/>
      <c r="F7" s="4"/>
      <c r="G7" s="4"/>
      <c r="H7" s="4">
        <f>SUBTOTAL(1,H4:H6)</f>
        <v>234.66666666666666</v>
      </c>
      <c r="I7" s="4"/>
      <c r="J7" s="4"/>
      <c r="K7" s="3"/>
    </row>
    <row r="8" spans="1:11" ht="18" customHeight="1" outlineLevel="2" x14ac:dyDescent="0.3">
      <c r="A8" s="3">
        <v>20113443</v>
      </c>
      <c r="B8" s="3" t="s">
        <v>17</v>
      </c>
      <c r="C8" s="3">
        <v>3</v>
      </c>
      <c r="D8" s="3" t="s">
        <v>18</v>
      </c>
      <c r="E8" s="4">
        <v>45</v>
      </c>
      <c r="F8" s="4">
        <v>78</v>
      </c>
      <c r="G8" s="4">
        <v>56</v>
      </c>
      <c r="H8" s="4">
        <f t="shared" si="0"/>
        <v>179</v>
      </c>
      <c r="I8" s="4">
        <f t="shared" si="1"/>
        <v>59.666666666666664</v>
      </c>
      <c r="J8" s="4">
        <f>_xlfn.RANK.EQ(I8,$I$4:$I$28)</f>
        <v>18</v>
      </c>
      <c r="K8" s="3" t="s">
        <v>41</v>
      </c>
    </row>
    <row r="9" spans="1:11" ht="18" customHeight="1" outlineLevel="2" x14ac:dyDescent="0.3">
      <c r="A9" s="3">
        <v>20133548</v>
      </c>
      <c r="B9" s="3" t="s">
        <v>17</v>
      </c>
      <c r="C9" s="3">
        <v>1</v>
      </c>
      <c r="D9" s="3" t="s">
        <v>19</v>
      </c>
      <c r="E9" s="4">
        <v>86</v>
      </c>
      <c r="F9" s="4">
        <v>87</v>
      </c>
      <c r="G9" s="4">
        <v>86</v>
      </c>
      <c r="H9" s="4">
        <f t="shared" si="0"/>
        <v>259</v>
      </c>
      <c r="I9" s="4">
        <f t="shared" si="1"/>
        <v>86.333333333333329</v>
      </c>
      <c r="J9" s="4">
        <f>_xlfn.RANK.EQ(I9,$I$4:$I$28)</f>
        <v>6</v>
      </c>
      <c r="K9" s="3" t="s">
        <v>42</v>
      </c>
    </row>
    <row r="10" spans="1:11" ht="18" customHeight="1" outlineLevel="2" x14ac:dyDescent="0.3">
      <c r="A10" s="3">
        <v>20133567</v>
      </c>
      <c r="B10" s="3" t="s">
        <v>17</v>
      </c>
      <c r="C10" s="3">
        <v>1</v>
      </c>
      <c r="D10" s="3" t="s">
        <v>20</v>
      </c>
      <c r="E10" s="4">
        <v>100</v>
      </c>
      <c r="F10" s="4">
        <v>92</v>
      </c>
      <c r="G10" s="4">
        <v>96</v>
      </c>
      <c r="H10" s="4">
        <f t="shared" si="0"/>
        <v>288</v>
      </c>
      <c r="I10" s="4">
        <f t="shared" si="1"/>
        <v>96</v>
      </c>
      <c r="J10" s="4">
        <f>_xlfn.RANK.EQ(I10,$I$4:$I$28)</f>
        <v>3</v>
      </c>
      <c r="K10" s="3" t="s">
        <v>43</v>
      </c>
    </row>
    <row r="11" spans="1:11" ht="18" customHeight="1" outlineLevel="2" x14ac:dyDescent="0.3">
      <c r="A11" s="3">
        <v>20133578</v>
      </c>
      <c r="B11" s="3" t="s">
        <v>17</v>
      </c>
      <c r="C11" s="3">
        <v>1</v>
      </c>
      <c r="D11" s="3" t="s">
        <v>21</v>
      </c>
      <c r="E11" s="4">
        <v>87</v>
      </c>
      <c r="F11" s="4">
        <v>95</v>
      </c>
      <c r="G11" s="4">
        <v>92</v>
      </c>
      <c r="H11" s="4">
        <f t="shared" si="0"/>
        <v>274</v>
      </c>
      <c r="I11" s="4">
        <f t="shared" si="1"/>
        <v>91.333333333333329</v>
      </c>
      <c r="J11" s="4">
        <f>_xlfn.RANK.EQ(I11,$I$4:$I$28)</f>
        <v>4</v>
      </c>
      <c r="K11" s="3" t="s">
        <v>44</v>
      </c>
    </row>
    <row r="12" spans="1:11" ht="18" customHeight="1" outlineLevel="1" x14ac:dyDescent="0.3">
      <c r="A12" s="3"/>
      <c r="B12" s="7" t="s">
        <v>48</v>
      </c>
      <c r="C12" s="3"/>
      <c r="D12" s="3"/>
      <c r="E12" s="4"/>
      <c r="F12" s="4"/>
      <c r="G12" s="4"/>
      <c r="H12" s="4">
        <f>SUBTOTAL(1,H8:H11)</f>
        <v>250</v>
      </c>
      <c r="I12" s="4"/>
      <c r="J12" s="4"/>
      <c r="K12" s="3"/>
    </row>
    <row r="13" spans="1:11" ht="18" customHeight="1" outlineLevel="2" x14ac:dyDescent="0.3">
      <c r="A13" s="3">
        <v>20094321</v>
      </c>
      <c r="B13" s="3" t="s">
        <v>22</v>
      </c>
      <c r="C13" s="3">
        <v>4</v>
      </c>
      <c r="D13" s="3" t="s">
        <v>23</v>
      </c>
      <c r="E13" s="4">
        <v>68</v>
      </c>
      <c r="F13" s="4">
        <v>75</v>
      </c>
      <c r="G13" s="4">
        <v>78</v>
      </c>
      <c r="H13" s="4">
        <f t="shared" si="0"/>
        <v>221</v>
      </c>
      <c r="I13" s="4">
        <f t="shared" si="1"/>
        <v>73.666666666666671</v>
      </c>
      <c r="J13" s="4">
        <f>_xlfn.RANK.EQ(I13,$I$4:$I$28)</f>
        <v>13</v>
      </c>
      <c r="K13" s="3" t="s">
        <v>40</v>
      </c>
    </row>
    <row r="14" spans="1:11" ht="18" customHeight="1" outlineLevel="2" x14ac:dyDescent="0.3">
      <c r="A14" s="3">
        <v>20124328</v>
      </c>
      <c r="B14" s="3" t="s">
        <v>22</v>
      </c>
      <c r="C14" s="3">
        <v>2</v>
      </c>
      <c r="D14" s="3" t="s">
        <v>24</v>
      </c>
      <c r="E14" s="4">
        <v>99</v>
      </c>
      <c r="F14" s="4">
        <v>86</v>
      </c>
      <c r="G14" s="4">
        <v>86</v>
      </c>
      <c r="H14" s="4">
        <f t="shared" si="0"/>
        <v>271</v>
      </c>
      <c r="I14" s="4">
        <f t="shared" si="1"/>
        <v>90.333333333333329</v>
      </c>
      <c r="J14" s="4">
        <f>_xlfn.RANK.EQ(I14,$I$4:$I$28)</f>
        <v>5</v>
      </c>
      <c r="K14" s="3" t="s">
        <v>44</v>
      </c>
    </row>
    <row r="15" spans="1:11" ht="18" customHeight="1" outlineLevel="2" x14ac:dyDescent="0.3">
      <c r="A15" s="3">
        <v>20124333</v>
      </c>
      <c r="B15" s="3" t="s">
        <v>22</v>
      </c>
      <c r="C15" s="3">
        <v>2</v>
      </c>
      <c r="D15" s="3" t="s">
        <v>25</v>
      </c>
      <c r="E15" s="4">
        <v>100</v>
      </c>
      <c r="F15" s="4">
        <v>95</v>
      </c>
      <c r="G15" s="4">
        <v>98</v>
      </c>
      <c r="H15" s="4">
        <f t="shared" si="0"/>
        <v>293</v>
      </c>
      <c r="I15" s="4">
        <f t="shared" si="1"/>
        <v>97.666666666666671</v>
      </c>
      <c r="J15" s="4">
        <f>_xlfn.RANK.EQ(I15,$I$4:$I$28)</f>
        <v>1</v>
      </c>
      <c r="K15" s="3" t="s">
        <v>43</v>
      </c>
    </row>
    <row r="16" spans="1:11" ht="18" customHeight="1" outlineLevel="2" x14ac:dyDescent="0.3">
      <c r="A16" s="3">
        <v>20124334</v>
      </c>
      <c r="B16" s="3" t="s">
        <v>22</v>
      </c>
      <c r="C16" s="3">
        <v>2</v>
      </c>
      <c r="D16" s="3" t="s">
        <v>26</v>
      </c>
      <c r="E16" s="4">
        <v>64</v>
      </c>
      <c r="F16" s="4">
        <v>52</v>
      </c>
      <c r="G16" s="4">
        <v>45</v>
      </c>
      <c r="H16" s="4">
        <f t="shared" si="0"/>
        <v>161</v>
      </c>
      <c r="I16" s="4">
        <f t="shared" si="1"/>
        <v>53.666666666666664</v>
      </c>
      <c r="J16" s="4">
        <f>_xlfn.RANK.EQ(I16,$I$4:$I$28)</f>
        <v>20</v>
      </c>
      <c r="K16" s="3" t="s">
        <v>41</v>
      </c>
    </row>
    <row r="17" spans="1:11" ht="18" customHeight="1" outlineLevel="1" x14ac:dyDescent="0.3">
      <c r="A17" s="3"/>
      <c r="B17" s="7" t="s">
        <v>49</v>
      </c>
      <c r="C17" s="3"/>
      <c r="D17" s="3"/>
      <c r="E17" s="4"/>
      <c r="F17" s="4"/>
      <c r="G17" s="4"/>
      <c r="H17" s="4">
        <f>SUBTOTAL(1,H13:H16)</f>
        <v>236.5</v>
      </c>
      <c r="I17" s="4"/>
      <c r="J17" s="4"/>
      <c r="K17" s="3"/>
    </row>
    <row r="18" spans="1:11" ht="18" customHeight="1" outlineLevel="2" x14ac:dyDescent="0.3">
      <c r="A18" s="3">
        <v>20105643</v>
      </c>
      <c r="B18" s="3" t="s">
        <v>27</v>
      </c>
      <c r="C18" s="3">
        <v>3</v>
      </c>
      <c r="D18" s="3" t="s">
        <v>28</v>
      </c>
      <c r="E18" s="4">
        <v>78</v>
      </c>
      <c r="F18" s="4">
        <v>88</v>
      </c>
      <c r="G18" s="4">
        <v>78</v>
      </c>
      <c r="H18" s="4">
        <f t="shared" si="0"/>
        <v>244</v>
      </c>
      <c r="I18" s="4">
        <f t="shared" si="1"/>
        <v>81.333333333333329</v>
      </c>
      <c r="J18" s="4">
        <f>_xlfn.RANK.EQ(I18,$I$4:$I$28)</f>
        <v>10</v>
      </c>
      <c r="K18" s="3" t="s">
        <v>39</v>
      </c>
    </row>
    <row r="19" spans="1:11" ht="18" customHeight="1" outlineLevel="2" x14ac:dyDescent="0.3">
      <c r="A19" s="3">
        <v>20125432</v>
      </c>
      <c r="B19" s="3" t="s">
        <v>27</v>
      </c>
      <c r="C19" s="3">
        <v>2</v>
      </c>
      <c r="D19" s="3" t="s">
        <v>29</v>
      </c>
      <c r="E19" s="4">
        <v>75</v>
      </c>
      <c r="F19" s="4">
        <v>83</v>
      </c>
      <c r="G19" s="4">
        <v>78</v>
      </c>
      <c r="H19" s="4">
        <f t="shared" si="0"/>
        <v>236</v>
      </c>
      <c r="I19" s="4">
        <f t="shared" si="1"/>
        <v>78.666666666666671</v>
      </c>
      <c r="J19" s="4">
        <f>_xlfn.RANK.EQ(I19,$I$4:$I$28)</f>
        <v>12</v>
      </c>
      <c r="K19" s="3" t="s">
        <v>45</v>
      </c>
    </row>
    <row r="20" spans="1:11" ht="18" customHeight="1" outlineLevel="2" x14ac:dyDescent="0.3">
      <c r="A20" s="3">
        <v>20135441</v>
      </c>
      <c r="B20" s="3" t="s">
        <v>27</v>
      </c>
      <c r="C20" s="3">
        <v>1</v>
      </c>
      <c r="D20" s="3" t="s">
        <v>30</v>
      </c>
      <c r="E20" s="4">
        <v>48</v>
      </c>
      <c r="F20" s="4">
        <v>95</v>
      </c>
      <c r="G20" s="4">
        <v>36</v>
      </c>
      <c r="H20" s="4">
        <f t="shared" si="0"/>
        <v>179</v>
      </c>
      <c r="I20" s="4">
        <f t="shared" si="1"/>
        <v>59.666666666666664</v>
      </c>
      <c r="J20" s="4">
        <f>_xlfn.RANK.EQ(I20,$I$4:$I$28)</f>
        <v>18</v>
      </c>
      <c r="K20" s="3" t="s">
        <v>41</v>
      </c>
    </row>
    <row r="21" spans="1:11" ht="18" customHeight="1" outlineLevel="1" x14ac:dyDescent="0.3">
      <c r="A21" s="3"/>
      <c r="B21" s="7" t="s">
        <v>50</v>
      </c>
      <c r="C21" s="3"/>
      <c r="D21" s="3"/>
      <c r="E21" s="4"/>
      <c r="F21" s="4"/>
      <c r="G21" s="4"/>
      <c r="H21" s="4">
        <f>SUBTOTAL(1,H18:H20)</f>
        <v>219.66666666666666</v>
      </c>
      <c r="I21" s="4"/>
      <c r="J21" s="4"/>
      <c r="K21" s="3"/>
    </row>
    <row r="22" spans="1:11" ht="18" customHeight="1" outlineLevel="2" x14ac:dyDescent="0.3">
      <c r="A22" s="3">
        <v>20116432</v>
      </c>
      <c r="B22" s="3" t="s">
        <v>31</v>
      </c>
      <c r="C22" s="3">
        <v>3</v>
      </c>
      <c r="D22" s="3" t="s">
        <v>32</v>
      </c>
      <c r="E22" s="4">
        <v>92</v>
      </c>
      <c r="F22" s="4">
        <v>78</v>
      </c>
      <c r="G22" s="4">
        <v>48</v>
      </c>
      <c r="H22" s="4">
        <f t="shared" si="0"/>
        <v>218</v>
      </c>
      <c r="I22" s="4">
        <f t="shared" si="1"/>
        <v>72.666666666666671</v>
      </c>
      <c r="J22" s="4">
        <f>_xlfn.RANK.EQ(I22,$I$4:$I$28)</f>
        <v>14</v>
      </c>
      <c r="K22" s="3" t="s">
        <v>40</v>
      </c>
    </row>
    <row r="23" spans="1:11" ht="18" customHeight="1" outlineLevel="2" x14ac:dyDescent="0.3">
      <c r="A23" s="3">
        <v>20136743</v>
      </c>
      <c r="B23" s="3" t="s">
        <v>31</v>
      </c>
      <c r="C23" s="3">
        <v>1</v>
      </c>
      <c r="D23" s="3" t="s">
        <v>33</v>
      </c>
      <c r="E23" s="4">
        <v>95</v>
      </c>
      <c r="F23" s="4">
        <v>96</v>
      </c>
      <c r="G23" s="4">
        <v>68</v>
      </c>
      <c r="H23" s="4">
        <f t="shared" si="0"/>
        <v>259</v>
      </c>
      <c r="I23" s="4">
        <f t="shared" si="1"/>
        <v>86.333333333333329</v>
      </c>
      <c r="J23" s="4">
        <f>_xlfn.RANK.EQ(I23,$I$4:$I$28)</f>
        <v>6</v>
      </c>
      <c r="K23" s="3" t="s">
        <v>42</v>
      </c>
    </row>
    <row r="24" spans="1:11" ht="18" customHeight="1" outlineLevel="2" x14ac:dyDescent="0.3">
      <c r="A24" s="3">
        <v>20136744</v>
      </c>
      <c r="B24" s="3" t="s">
        <v>31</v>
      </c>
      <c r="C24" s="3">
        <v>1</v>
      </c>
      <c r="D24" s="3" t="s">
        <v>34</v>
      </c>
      <c r="E24" s="4">
        <v>78</v>
      </c>
      <c r="F24" s="4">
        <v>54</v>
      </c>
      <c r="G24" s="4">
        <v>56</v>
      </c>
      <c r="H24" s="4">
        <f t="shared" si="0"/>
        <v>188</v>
      </c>
      <c r="I24" s="4">
        <f t="shared" si="1"/>
        <v>62.666666666666664</v>
      </c>
      <c r="J24" s="4">
        <f>_xlfn.RANK.EQ(I24,$I$4:$I$28)</f>
        <v>16</v>
      </c>
      <c r="K24" s="3" t="s">
        <v>46</v>
      </c>
    </row>
    <row r="25" spans="1:11" ht="18" customHeight="1" outlineLevel="1" x14ac:dyDescent="0.3">
      <c r="A25" s="3"/>
      <c r="B25" s="7" t="s">
        <v>51</v>
      </c>
      <c r="C25" s="3"/>
      <c r="D25" s="3"/>
      <c r="E25" s="4"/>
      <c r="F25" s="4"/>
      <c r="G25" s="4"/>
      <c r="H25" s="4">
        <f>SUBTOTAL(1,H22:H24)</f>
        <v>221.66666666666666</v>
      </c>
      <c r="I25" s="4"/>
      <c r="J25" s="4"/>
      <c r="K25" s="3"/>
    </row>
    <row r="26" spans="1:11" ht="18" customHeight="1" outlineLevel="2" x14ac:dyDescent="0.3">
      <c r="A26" s="3">
        <v>20137565</v>
      </c>
      <c r="B26" s="3" t="s">
        <v>35</v>
      </c>
      <c r="C26" s="3">
        <v>1</v>
      </c>
      <c r="D26" s="3" t="s">
        <v>36</v>
      </c>
      <c r="E26" s="4">
        <v>65</v>
      </c>
      <c r="F26" s="4">
        <v>97</v>
      </c>
      <c r="G26" s="4">
        <v>89</v>
      </c>
      <c r="H26" s="4">
        <f t="shared" si="0"/>
        <v>251</v>
      </c>
      <c r="I26" s="4">
        <f t="shared" si="1"/>
        <v>83.666666666666671</v>
      </c>
      <c r="J26" s="4">
        <f>_xlfn.RANK.EQ(I26,$I$4:$I$28)</f>
        <v>8</v>
      </c>
      <c r="K26" s="3" t="s">
        <v>39</v>
      </c>
    </row>
    <row r="27" spans="1:11" ht="18" customHeight="1" outlineLevel="2" x14ac:dyDescent="0.3">
      <c r="A27" s="3">
        <v>20137570</v>
      </c>
      <c r="B27" s="3" t="s">
        <v>35</v>
      </c>
      <c r="C27" s="3">
        <v>1</v>
      </c>
      <c r="D27" s="3" t="s">
        <v>37</v>
      </c>
      <c r="E27" s="4">
        <v>92</v>
      </c>
      <c r="F27" s="4">
        <v>98</v>
      </c>
      <c r="G27" s="4">
        <v>99</v>
      </c>
      <c r="H27" s="4">
        <f t="shared" si="0"/>
        <v>289</v>
      </c>
      <c r="I27" s="4">
        <f t="shared" si="1"/>
        <v>96.333333333333329</v>
      </c>
      <c r="J27" s="4">
        <f>_xlfn.RANK.EQ(I27,$I$4:$I$28)</f>
        <v>2</v>
      </c>
      <c r="K27" s="3" t="s">
        <v>43</v>
      </c>
    </row>
    <row r="28" spans="1:11" ht="18" customHeight="1" outlineLevel="2" x14ac:dyDescent="0.3">
      <c r="A28" s="3">
        <v>20137573</v>
      </c>
      <c r="B28" s="3" t="s">
        <v>35</v>
      </c>
      <c r="C28" s="3">
        <v>1</v>
      </c>
      <c r="D28" s="3" t="s">
        <v>38</v>
      </c>
      <c r="E28" s="4">
        <v>56</v>
      </c>
      <c r="F28" s="4">
        <v>48</v>
      </c>
      <c r="G28" s="4">
        <v>78</v>
      </c>
      <c r="H28" s="4">
        <f t="shared" si="0"/>
        <v>182</v>
      </c>
      <c r="I28" s="4">
        <f t="shared" si="1"/>
        <v>60.666666666666664</v>
      </c>
      <c r="J28" s="4">
        <f>_xlfn.RANK.EQ(I28,$I$4:$I$28)</f>
        <v>17</v>
      </c>
      <c r="K28" s="3" t="s">
        <v>46</v>
      </c>
    </row>
    <row r="29" spans="1:11" ht="18" customHeight="1" outlineLevel="1" x14ac:dyDescent="0.3">
      <c r="A29" s="8"/>
      <c r="B29" s="10" t="s">
        <v>52</v>
      </c>
      <c r="C29" s="8"/>
      <c r="D29" s="8"/>
      <c r="E29" s="9"/>
      <c r="F29" s="9"/>
      <c r="G29" s="9"/>
      <c r="H29" s="9">
        <f>SUBTOTAL(1,H26:H28)</f>
        <v>240.66666666666666</v>
      </c>
      <c r="I29" s="9"/>
      <c r="J29" s="9"/>
      <c r="K29" s="8"/>
    </row>
    <row r="30" spans="1:11" ht="18" customHeight="1" x14ac:dyDescent="0.3">
      <c r="A30" s="8"/>
      <c r="B30" s="10" t="s">
        <v>53</v>
      </c>
      <c r="C30" s="8"/>
      <c r="D30" s="8"/>
      <c r="E30" s="9"/>
      <c r="F30" s="9"/>
      <c r="G30" s="9"/>
      <c r="H30" s="9">
        <f>SUBTOTAL(1,H4:H28)</f>
        <v>234.8</v>
      </c>
      <c r="I30" s="9"/>
      <c r="J30" s="9"/>
      <c r="K30" s="8"/>
    </row>
  </sheetData>
  <autoFilter ref="A3:K28"/>
  <mergeCells count="1">
    <mergeCell ref="A1:K1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총점의평균_부분합">
                <anchor moveWithCells="1" sizeWithCells="1">
                  <from>
                    <xdr:col>0</xdr:col>
                    <xdr:colOff>38100</xdr:colOff>
                    <xdr:row>31</xdr:row>
                    <xdr:rowOff>200025</xdr:rowOff>
                  </from>
                  <to>
                    <xdr:col>2</xdr:col>
                    <xdr:colOff>9525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부분합제거">
                <anchor moveWithCells="1" sizeWithCells="1">
                  <from>
                    <xdr:col>2</xdr:col>
                    <xdr:colOff>76200</xdr:colOff>
                    <xdr:row>31</xdr:row>
                    <xdr:rowOff>190500</xdr:rowOff>
                  </from>
                  <to>
                    <xdr:col>4</xdr:col>
                    <xdr:colOff>666750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학과필터">
                <anchor moveWithCells="1" sizeWithCells="1">
                  <from>
                    <xdr:col>4</xdr:col>
                    <xdr:colOff>762000</xdr:colOff>
                    <xdr:row>31</xdr:row>
                    <xdr:rowOff>180975</xdr:rowOff>
                  </from>
                  <to>
                    <xdr:col>7</xdr:col>
                    <xdr:colOff>304800</xdr:colOff>
                    <xdr:row>34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학과필터제거">
                <anchor moveWithCells="1" sizeWithCells="1">
                  <from>
                    <xdr:col>7</xdr:col>
                    <xdr:colOff>438150</xdr:colOff>
                    <xdr:row>31</xdr:row>
                    <xdr:rowOff>171450</xdr:rowOff>
                  </from>
                  <to>
                    <xdr:col>10</xdr:col>
                    <xdr:colOff>295275</xdr:colOff>
                    <xdr:row>34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8장연습문제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Jong-Ho</dc:creator>
  <cp:lastModifiedBy>GU</cp:lastModifiedBy>
  <dcterms:created xsi:type="dcterms:W3CDTF">2013-09-22T01:49:37Z</dcterms:created>
  <dcterms:modified xsi:type="dcterms:W3CDTF">2016-04-26T10:16:23Z</dcterms:modified>
</cp:coreProperties>
</file>