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60" windowWidth="19440" windowHeight="12555" activeTab="1"/>
  </bookViews>
  <sheets>
    <sheet name="매크로" sheetId="4" r:id="rId1"/>
    <sheet name="8장연습문제" sheetId="5" r:id="rId2"/>
    <sheet name="Sheet1" sheetId="6" r:id="rId3"/>
  </sheets>
  <externalReferences>
    <externalReference r:id="rId4"/>
  </externalReferences>
  <definedNames>
    <definedName name="_xlnm._FilterDatabase" localSheetId="1" hidden="1">'8장연습문제'!$A$3:$K$23</definedName>
    <definedName name="_xlnm._FilterDatabase" localSheetId="0" hidden="1">매크로!$A$3:$M$23</definedName>
    <definedName name="aa" localSheetId="1">#REF!</definedName>
    <definedName name="aa">#REF!</definedName>
    <definedName name="aaa" localSheetId="1">#REF!</definedName>
    <definedName name="aaa">#REF!</definedName>
    <definedName name="anscount" hidden="1">1</definedName>
    <definedName name="Beg_Bal" localSheetId="1">#REF!</definedName>
    <definedName name="Beg_Bal">#REF!</definedName>
    <definedName name="Cum_Int" localSheetId="1">#REF!</definedName>
    <definedName name="Cum_Int">#REF!</definedName>
    <definedName name="End_Bal" localSheetId="1">#REF!</definedName>
    <definedName name="End_Bal">#REF!</definedName>
    <definedName name="Extra_Pay" localSheetId="1">#REF!</definedName>
    <definedName name="Extra_Pay">#REF!</definedName>
    <definedName name="Full_Print" localSheetId="1">#REF!</definedName>
    <definedName name="Full_Print">#REF!</definedName>
    <definedName name="Header_Row" localSheetId="1">ROW(#REF!)</definedName>
    <definedName name="Header_Row">ROW(#REF!)</definedName>
    <definedName name="Int" localSheetId="1">#REF!</definedName>
    <definedName name="Int">#REF!</definedName>
    <definedName name="Interest_Rate" localSheetId="1">#REF!</definedName>
    <definedName name="Interest_Rate">#REF!</definedName>
    <definedName name="Last_Row" localSheetId="1">IF('8장연습문제'!Values_Entered,'8장연습문제'!Header_Row+'8장연습문제'!Number_of_Payments,'8장연습문제'!Header_Row)</definedName>
    <definedName name="Last_Row">IF(Values_Entered,Header_Row+Number_of_Payments,Header_Row)</definedName>
    <definedName name="Loan_Amount" localSheetId="1">#REF!</definedName>
    <definedName name="Loan_Amount">#REF!</definedName>
    <definedName name="Loan_Start" localSheetId="1">#REF!</definedName>
    <definedName name="Loan_Start">#REF!</definedName>
    <definedName name="Loan_Years" localSheetId="1">#REF!</definedName>
    <definedName name="Loan_Years">#REF!</definedName>
    <definedName name="Num_Pmt_Per_Year" localSheetId="1">#REF!</definedName>
    <definedName name="Num_Pmt_Per_Year">#REF!</definedName>
    <definedName name="Number_of_Payments" localSheetId="1">MATCH(0.01,'8장연습문제'!End_Bal,-1)+1</definedName>
    <definedName name="Number_of_Payments">MATCH(0.01,End_Bal,-1)+1</definedName>
    <definedName name="Pay_Date" localSheetId="1">#REF!</definedName>
    <definedName name="Pay_Date">#REF!</definedName>
    <definedName name="Pay_Num" localSheetId="1">#REF!</definedName>
    <definedName name="Pay_Num">#REF!</definedName>
    <definedName name="Payment_Date" localSheetId="1">DATE(YEAR('8장연습문제'!Loan_Start),MONTH('8장연습문제'!Loan_Start)+Payment_Number,DAY('8장연습문제'!Loan_Start))</definedName>
    <definedName name="Payment_Date">DATE(YEAR(Loan_Start),MONTH(Loan_Start)+Payment_Number,DAY(Loan_Start))</definedName>
    <definedName name="Princ" localSheetId="1">#REF!</definedName>
    <definedName name="Princ">#REF!</definedName>
    <definedName name="Print_Area_Reset" localSheetId="1">OFFSET('8장연습문제'!Full_Print,0,0,'8장연습문제'!Last_Row)</definedName>
    <definedName name="Print_Area_Reset">OFFSET(Full_Print,0,0,Last_Row)</definedName>
    <definedName name="Sched_Pay" localSheetId="1">#REF!</definedName>
    <definedName name="Sched_Pay">#REF!</definedName>
    <definedName name="Scheduled_Extra_Payments" localSheetId="1">#REF!</definedName>
    <definedName name="Scheduled_Extra_Payments">#REF!</definedName>
    <definedName name="Scheduled_Interest_Rate" localSheetId="1">#REF!</definedName>
    <definedName name="Scheduled_Interest_Rate">#REF!</definedName>
    <definedName name="Scheduled_Monthly_Payment" localSheetId="1">#REF!</definedName>
    <definedName name="Scheduled_Monthly_Payment">#REF!</definedName>
    <definedName name="Total_Interest" localSheetId="1">#REF!</definedName>
    <definedName name="Total_Interest">#REF!</definedName>
    <definedName name="Total_Pay" localSheetId="1">#REF!</definedName>
    <definedName name="Total_Pay">#REF!</definedName>
    <definedName name="Values_Entered" localSheetId="1">IF('8장연습문제'!Loan_Amount*'8장연습문제'!Interest_Rate*'8장연습문제'!Loan_Years*'8장연습문제'!Loan_Start&gt;0,1,0)</definedName>
    <definedName name="Values_Entered">IF(Loan_Amount*Interest_Rate*Loan_Years*Loan_Start&gt;0,1,0)</definedName>
    <definedName name="규격" localSheetId="1">#REF!</definedName>
    <definedName name="규격">#REF!</definedName>
    <definedName name="단가" localSheetId="1">#REF!</definedName>
    <definedName name="단가">#REF!</definedName>
    <definedName name="데이터" localSheetId="1">#REF!</definedName>
    <definedName name="데이터">#REF!</definedName>
    <definedName name="유니폼">OFFSET([1]유니폼!$A$4,0,0,COUNTA([1]유니폼!$A$4:$A$65536),6)</definedName>
    <definedName name="학과설정" localSheetId="1">#REF!</definedName>
    <definedName name="학과설정">#REF!</definedName>
    <definedName name="학과설정1" localSheetId="1">#REF!</definedName>
    <definedName name="학과설정1">#REF!</definedName>
    <definedName name="학번" localSheetId="1">#REF!</definedName>
    <definedName name="학번">#REF!</definedName>
  </definedNames>
  <calcPr calcId="144525"/>
</workbook>
</file>

<file path=xl/calcChain.xml><?xml version="1.0" encoding="utf-8"?>
<calcChain xmlns="http://schemas.openxmlformats.org/spreadsheetml/2006/main">
  <c r="D23" i="4" l="1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J5" i="4" l="1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4" i="4"/>
  <c r="F9" i="6"/>
  <c r="F8" i="6"/>
  <c r="F7" i="6"/>
  <c r="F6" i="6"/>
  <c r="F5" i="6"/>
  <c r="E9" i="6"/>
  <c r="D9" i="6"/>
  <c r="C9" i="6"/>
  <c r="B9" i="6"/>
  <c r="I10" i="6"/>
  <c r="F4" i="6"/>
  <c r="L23" i="4" l="1"/>
  <c r="L4" i="4"/>
  <c r="L20" i="4"/>
  <c r="L16" i="4"/>
  <c r="L12" i="4"/>
  <c r="L8" i="4"/>
  <c r="L19" i="4"/>
  <c r="L15" i="4"/>
  <c r="L11" i="4"/>
  <c r="L7" i="4"/>
  <c r="L22" i="4"/>
  <c r="L18" i="4"/>
  <c r="L14" i="4"/>
  <c r="L10" i="4"/>
  <c r="L6" i="4"/>
  <c r="L21" i="4"/>
  <c r="L17" i="4"/>
  <c r="L13" i="4"/>
  <c r="L9" i="4"/>
  <c r="L5" i="4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I5" i="5"/>
  <c r="H5" i="5"/>
  <c r="I4" i="5"/>
  <c r="H4" i="5"/>
  <c r="J6" i="5" l="1"/>
  <c r="J22" i="5"/>
  <c r="J4" i="5"/>
  <c r="J5" i="5"/>
  <c r="J7" i="5"/>
  <c r="J9" i="5"/>
  <c r="J11" i="5"/>
  <c r="J13" i="5"/>
  <c r="J15" i="5"/>
  <c r="J17" i="5"/>
  <c r="J19" i="5"/>
  <c r="J21" i="5"/>
  <c r="J23" i="5"/>
  <c r="J8" i="5"/>
  <c r="J10" i="5"/>
  <c r="J12" i="5"/>
  <c r="J14" i="5"/>
  <c r="J16" i="5"/>
  <c r="J18" i="5"/>
  <c r="J20" i="5"/>
  <c r="K23" i="4" l="1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</calcChain>
</file>

<file path=xl/sharedStrings.xml><?xml version="1.0" encoding="utf-8"?>
<sst xmlns="http://schemas.openxmlformats.org/spreadsheetml/2006/main" count="178" uniqueCount="107">
  <si>
    <t>학과별 성적표</t>
    <phoneticPr fontId="3" type="noConversion"/>
  </si>
  <si>
    <t>학번</t>
    <phoneticPr fontId="3" type="noConversion"/>
  </si>
  <si>
    <t>학과</t>
    <phoneticPr fontId="3" type="noConversion"/>
  </si>
  <si>
    <t>학년</t>
    <phoneticPr fontId="3" type="noConversion"/>
  </si>
  <si>
    <t>주민번호</t>
    <phoneticPr fontId="3" type="noConversion"/>
  </si>
  <si>
    <t>성별</t>
    <phoneticPr fontId="3" type="noConversion"/>
  </si>
  <si>
    <t>이름</t>
    <phoneticPr fontId="3" type="noConversion"/>
  </si>
  <si>
    <t>실용컴퓨터</t>
    <phoneticPr fontId="3" type="noConversion"/>
  </si>
  <si>
    <t>영어회화</t>
    <phoneticPr fontId="3" type="noConversion"/>
  </si>
  <si>
    <t>한문</t>
    <phoneticPr fontId="3" type="noConversion"/>
  </si>
  <si>
    <t>총점</t>
    <phoneticPr fontId="3" type="noConversion"/>
  </si>
  <si>
    <t>평균</t>
    <phoneticPr fontId="3" type="noConversion"/>
  </si>
  <si>
    <t>등수</t>
    <phoneticPr fontId="3" type="noConversion"/>
  </si>
  <si>
    <t>학점</t>
    <phoneticPr fontId="3" type="noConversion"/>
  </si>
  <si>
    <t>경영학과</t>
    <phoneticPr fontId="3" type="noConversion"/>
  </si>
  <si>
    <t>940825-2110138</t>
    <phoneticPr fontId="3" type="noConversion"/>
  </si>
  <si>
    <t>김지영</t>
    <phoneticPr fontId="3" type="noConversion"/>
  </si>
  <si>
    <t>경영학과</t>
    <phoneticPr fontId="3" type="noConversion"/>
  </si>
  <si>
    <t>이소연</t>
    <phoneticPr fontId="3" type="noConversion"/>
  </si>
  <si>
    <t>이진혁</t>
    <phoneticPr fontId="3" type="noConversion"/>
  </si>
  <si>
    <t>데이터정보학과</t>
    <phoneticPr fontId="3" type="noConversion"/>
  </si>
  <si>
    <t>김영수</t>
    <phoneticPr fontId="3" type="noConversion"/>
  </si>
  <si>
    <t>김민수</t>
    <phoneticPr fontId="3" type="noConversion"/>
  </si>
  <si>
    <t>박미혜</t>
    <phoneticPr fontId="3" type="noConversion"/>
  </si>
  <si>
    <t>최성호</t>
    <phoneticPr fontId="3" type="noConversion"/>
  </si>
  <si>
    <t>영문학과</t>
    <phoneticPr fontId="3" type="noConversion"/>
  </si>
  <si>
    <t>강동수</t>
    <phoneticPr fontId="3" type="noConversion"/>
  </si>
  <si>
    <t>이민지</t>
    <phoneticPr fontId="3" type="noConversion"/>
  </si>
  <si>
    <t>최소라</t>
    <phoneticPr fontId="3" type="noConversion"/>
  </si>
  <si>
    <t>허민욱</t>
    <phoneticPr fontId="3" type="noConversion"/>
  </si>
  <si>
    <t>간호학과</t>
    <phoneticPr fontId="3" type="noConversion"/>
  </si>
  <si>
    <t>이민정</t>
    <phoneticPr fontId="3" type="noConversion"/>
  </si>
  <si>
    <t>김미영</t>
    <phoneticPr fontId="3" type="noConversion"/>
  </si>
  <si>
    <t>박지혜</t>
    <phoneticPr fontId="3" type="noConversion"/>
  </si>
  <si>
    <t>의용공학과</t>
    <phoneticPr fontId="3" type="noConversion"/>
  </si>
  <si>
    <t>한혜란</t>
    <phoneticPr fontId="3" type="noConversion"/>
  </si>
  <si>
    <t>김혜수</t>
    <phoneticPr fontId="3" type="noConversion"/>
  </si>
  <si>
    <t>박미리</t>
    <phoneticPr fontId="3" type="noConversion"/>
  </si>
  <si>
    <t>컴퓨터공학과</t>
    <phoneticPr fontId="3" type="noConversion"/>
  </si>
  <si>
    <t>강수지</t>
    <phoneticPr fontId="3" type="noConversion"/>
  </si>
  <si>
    <t>박명호</t>
    <phoneticPr fontId="3" type="noConversion"/>
  </si>
  <si>
    <t>황민수</t>
    <phoneticPr fontId="3" type="noConversion"/>
  </si>
  <si>
    <t>학과별 성적표</t>
    <phoneticPr fontId="3" type="noConversion"/>
  </si>
  <si>
    <t>경영학과</t>
    <phoneticPr fontId="3" type="noConversion"/>
  </si>
  <si>
    <t>930310-2358214</t>
    <phoneticPr fontId="3" type="noConversion"/>
  </si>
  <si>
    <t>이소연</t>
    <phoneticPr fontId="3" type="noConversion"/>
  </si>
  <si>
    <t>940203-1897121</t>
    <phoneticPr fontId="3" type="noConversion"/>
  </si>
  <si>
    <t>이진혁</t>
    <phoneticPr fontId="3" type="noConversion"/>
  </si>
  <si>
    <t>데이터정보학과</t>
    <phoneticPr fontId="3" type="noConversion"/>
  </si>
  <si>
    <t>890821-1897453</t>
    <phoneticPr fontId="3" type="noConversion"/>
  </si>
  <si>
    <t>김영수</t>
    <phoneticPr fontId="3" type="noConversion"/>
  </si>
  <si>
    <t>941210-1324423</t>
    <phoneticPr fontId="3" type="noConversion"/>
  </si>
  <si>
    <t>김민수</t>
    <phoneticPr fontId="3" type="noConversion"/>
  </si>
  <si>
    <t>940712-2564871</t>
    <phoneticPr fontId="3" type="noConversion"/>
  </si>
  <si>
    <t>박미혜</t>
    <phoneticPr fontId="3" type="noConversion"/>
  </si>
  <si>
    <t>941120-1645127</t>
    <phoneticPr fontId="3" type="noConversion"/>
  </si>
  <si>
    <t>최성호</t>
    <phoneticPr fontId="3" type="noConversion"/>
  </si>
  <si>
    <t>영문학과</t>
    <phoneticPr fontId="3" type="noConversion"/>
  </si>
  <si>
    <t>870501-1745971</t>
    <phoneticPr fontId="3" type="noConversion"/>
  </si>
  <si>
    <t>강동수</t>
    <phoneticPr fontId="3" type="noConversion"/>
  </si>
  <si>
    <t>930811-2465781</t>
    <phoneticPr fontId="3" type="noConversion"/>
  </si>
  <si>
    <t>이민지</t>
    <phoneticPr fontId="3" type="noConversion"/>
  </si>
  <si>
    <t>930412-2431212</t>
    <phoneticPr fontId="3" type="noConversion"/>
  </si>
  <si>
    <t>최소라</t>
    <phoneticPr fontId="3" type="noConversion"/>
  </si>
  <si>
    <t>930730-1573121</t>
    <phoneticPr fontId="3" type="noConversion"/>
  </si>
  <si>
    <t>허민욱</t>
    <phoneticPr fontId="3" type="noConversion"/>
  </si>
  <si>
    <t>간호학과</t>
    <phoneticPr fontId="3" type="noConversion"/>
  </si>
  <si>
    <t>920120-2145648</t>
    <phoneticPr fontId="3" type="noConversion"/>
  </si>
  <si>
    <t>이민정</t>
    <phoneticPr fontId="3" type="noConversion"/>
  </si>
  <si>
    <t>931211-2111221</t>
    <phoneticPr fontId="3" type="noConversion"/>
  </si>
  <si>
    <t>김미영</t>
    <phoneticPr fontId="3" type="noConversion"/>
  </si>
  <si>
    <t>940321-2451478</t>
    <phoneticPr fontId="3" type="noConversion"/>
  </si>
  <si>
    <t>박지혜</t>
    <phoneticPr fontId="3" type="noConversion"/>
  </si>
  <si>
    <t>의용공학과</t>
    <phoneticPr fontId="3" type="noConversion"/>
  </si>
  <si>
    <t>920330-2147985</t>
    <phoneticPr fontId="3" type="noConversion"/>
  </si>
  <si>
    <t>한혜란</t>
    <phoneticPr fontId="3" type="noConversion"/>
  </si>
  <si>
    <t>940516-2567891</t>
    <phoneticPr fontId="3" type="noConversion"/>
  </si>
  <si>
    <t>김혜수</t>
    <phoneticPr fontId="3" type="noConversion"/>
  </si>
  <si>
    <t>941120-2548765</t>
    <phoneticPr fontId="3" type="noConversion"/>
  </si>
  <si>
    <t>박미리</t>
    <phoneticPr fontId="3" type="noConversion"/>
  </si>
  <si>
    <t>컴퓨터공학과</t>
    <phoneticPr fontId="3" type="noConversion"/>
  </si>
  <si>
    <t>940512-2547623</t>
    <phoneticPr fontId="3" type="noConversion"/>
  </si>
  <si>
    <t>강수지</t>
    <phoneticPr fontId="3" type="noConversion"/>
  </si>
  <si>
    <t>941230-1897451</t>
    <phoneticPr fontId="3" type="noConversion"/>
  </si>
  <si>
    <t>박명호</t>
    <phoneticPr fontId="3" type="noConversion"/>
  </si>
  <si>
    <t>940612-1245783</t>
    <phoneticPr fontId="3" type="noConversion"/>
  </si>
  <si>
    <t>황민수</t>
    <phoneticPr fontId="3" type="noConversion"/>
  </si>
  <si>
    <t>B</t>
  </si>
  <si>
    <t>C</t>
  </si>
  <si>
    <t>F</t>
  </si>
  <si>
    <t>B+</t>
  </si>
  <si>
    <t>A+</t>
  </si>
  <si>
    <t>A</t>
  </si>
  <si>
    <t>C+</t>
  </si>
  <si>
    <t>D</t>
  </si>
  <si>
    <t>자동차 판매현황</t>
    <phoneticPr fontId="3" type="noConversion"/>
  </si>
  <si>
    <t>동부점</t>
    <phoneticPr fontId="3" type="noConversion"/>
  </si>
  <si>
    <t>남부점</t>
    <phoneticPr fontId="3" type="noConversion"/>
  </si>
  <si>
    <t>서부점</t>
    <phoneticPr fontId="3" type="noConversion"/>
  </si>
  <si>
    <t>북부점</t>
    <phoneticPr fontId="3" type="noConversion"/>
  </si>
  <si>
    <t>중앙점</t>
    <phoneticPr fontId="3" type="noConversion"/>
  </si>
  <si>
    <t>1분기</t>
    <phoneticPr fontId="3" type="noConversion"/>
  </si>
  <si>
    <t>2분기</t>
  </si>
  <si>
    <t>3분기</t>
  </si>
  <si>
    <t>4분기</t>
  </si>
  <si>
    <t>분기별 합계</t>
    <phoneticPr fontId="3" type="noConversion"/>
  </si>
  <si>
    <t>지점별 합계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</si>
</sst>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_-* #,##0\ _F_-;\-* #,##0\ _F_-;_-* &quot;-&quot;\ _F_-;_-@_-"/>
    <numFmt numFmtId="178" formatCode="_-* #,##0.00\ _F_-;\-* #,##0.00\ _F_-;_-* &quot;-&quot;??\ _F_-;_-@_-"/>
    <numFmt numFmtId="179" formatCode="_-* #,##0\ &quot;F&quot;_-;\-* #,##0\ &quot;F&quot;_-;_-* &quot;-&quot;\ &quot;F&quot;_-;_-@_-"/>
    <numFmt numFmtId="180" formatCode="_-* #,##0.00\ &quot;F&quot;_-;\-* #,##0.00\ &quot;F&quot;_-;_-* &quot;-&quot;??\ &quot;F&quot;_-;_-@_-"/>
    <numFmt numFmtId="181" formatCode="[Blue]#,##0;[Red]\-#,##0;[Green]0"/>
    <numFmt numFmtId="182" formatCode="_(* #,##0_);_(* \(#,##0\);_(* &quot;-&quot;_);_(@_)"/>
    <numFmt numFmtId="183" formatCode="#,##0;&quot;-&quot;#,##0"/>
    <numFmt numFmtId="184" formatCode="0.00000&quot;  &quot;"/>
    <numFmt numFmtId="185" formatCode="_-[$₩-412]* #,##0_-;\-[$₩-412]* #,##0_-;_-[$₩-412]* &quot;-&quot;_-;_-@_-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26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돋움"/>
      <family val="2"/>
    </font>
    <font>
      <b/>
      <sz val="10"/>
      <name val="Helv"/>
      <family val="2"/>
    </font>
    <font>
      <sz val="10"/>
      <name val="Times New Roman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rgb="FFFA7D00"/>
      <name val="돋움"/>
      <family val="2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sz val="11"/>
      <color rgb="FF3F3F76"/>
      <name val="돋움"/>
      <family val="2"/>
    </font>
    <font>
      <b/>
      <sz val="18"/>
      <color theme="3"/>
      <name val="맑은 고딕"/>
      <family val="2"/>
      <scheme val="major"/>
    </font>
    <font>
      <sz val="10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6">
    <xf numFmtId="0" fontId="0" fillId="0" borderId="0">
      <alignment vertical="center"/>
    </xf>
    <xf numFmtId="0" fontId="1" fillId="4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1" fillId="5" borderId="0" applyNumberFormat="0" applyBorder="0" applyAlignment="0" applyProtection="0">
      <alignment vertical="center"/>
    </xf>
    <xf numFmtId="0" fontId="9" fillId="0" borderId="0"/>
    <xf numFmtId="177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179" fontId="10" fillId="0" borderId="0" applyFont="0" applyFill="0" applyBorder="0" applyAlignment="0" applyProtection="0"/>
    <xf numFmtId="180" fontId="10" fillId="0" borderId="0" applyFont="0" applyFill="0" applyBorder="0" applyAlignment="0" applyProtection="0"/>
    <xf numFmtId="38" fontId="11" fillId="10" borderId="0" applyNumberFormat="0" applyBorder="0" applyAlignment="0" applyProtection="0"/>
    <xf numFmtId="0" fontId="12" fillId="0" borderId="0">
      <alignment horizontal="left"/>
    </xf>
    <xf numFmtId="0" fontId="13" fillId="0" borderId="4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11" fillId="10" borderId="3" applyNumberFormat="0" applyBorder="0" applyAlignment="0" applyProtection="0"/>
    <xf numFmtId="0" fontId="14" fillId="0" borderId="5"/>
    <xf numFmtId="181" fontId="15" fillId="0" borderId="0"/>
    <xf numFmtId="0" fontId="10" fillId="0" borderId="0"/>
    <xf numFmtId="10" fontId="16" fillId="0" borderId="0" applyFont="0" applyFill="0" applyBorder="0" applyAlignment="0" applyProtection="0"/>
    <xf numFmtId="0" fontId="14" fillId="0" borderId="0"/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3" borderId="1" applyNumberFormat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82" fontId="19" fillId="0" borderId="0" applyFont="0" applyFill="0" applyBorder="0" applyAlignment="0" applyProtection="0"/>
    <xf numFmtId="41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/>
    <xf numFmtId="0" fontId="21" fillId="2" borderId="1" applyNumberFormat="0" applyAlignment="0" applyProtection="0"/>
    <xf numFmtId="0" fontId="22" fillId="0" borderId="0" applyNumberFormat="0" applyFill="0" applyBorder="0" applyAlignment="0" applyProtection="0">
      <alignment vertical="center"/>
    </xf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42" fontId="19" fillId="0" borderId="0" applyFont="0" applyFill="0" applyBorder="0" applyAlignment="0" applyProtection="0">
      <alignment vertical="center"/>
    </xf>
    <xf numFmtId="185" fontId="23" fillId="0" borderId="0" applyFont="0" applyFill="0" applyBorder="0" applyAlignment="0" applyProtection="0"/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6" fillId="0" borderId="0"/>
    <xf numFmtId="0" fontId="19" fillId="0" borderId="0"/>
    <xf numFmtId="0" fontId="1" fillId="0" borderId="0">
      <alignment vertical="center"/>
    </xf>
    <xf numFmtId="0" fontId="2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">
    <xf numFmtId="0" fontId="0" fillId="0" borderId="0" xfId="0">
      <alignment vertical="center"/>
    </xf>
    <xf numFmtId="176" fontId="2" fillId="8" borderId="2" xfId="0" applyNumberFormat="1" applyFont="1" applyFill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56">
    <cellStyle name="20% - 강조색2 2" xfId="1"/>
    <cellStyle name="20% - 강조색3 2" xfId="2"/>
    <cellStyle name="40% - 강조색2 2" xfId="3"/>
    <cellStyle name="category" xfId="4"/>
    <cellStyle name="Comma [0]_MATERAL2" xfId="5"/>
    <cellStyle name="Comma_MATERAL2" xfId="6"/>
    <cellStyle name="Currency [0]_MATERAL2" xfId="7"/>
    <cellStyle name="Currency_MATERAL2" xfId="8"/>
    <cellStyle name="Grey" xfId="9"/>
    <cellStyle name="HEADER" xfId="10"/>
    <cellStyle name="Header1" xfId="11"/>
    <cellStyle name="Header2" xfId="12"/>
    <cellStyle name="Input [yellow]" xfId="13"/>
    <cellStyle name="Model" xfId="14"/>
    <cellStyle name="Normal - Style1" xfId="15"/>
    <cellStyle name="Normal_Certs Q2" xfId="16"/>
    <cellStyle name="Percent [2]" xfId="17"/>
    <cellStyle name="subhead" xfId="18"/>
    <cellStyle name="강조색3 2" xfId="19"/>
    <cellStyle name="강조색6 2" xfId="20"/>
    <cellStyle name="계산 2" xfId="21"/>
    <cellStyle name="백분율 2" xfId="22"/>
    <cellStyle name="백분율 2 2" xfId="23"/>
    <cellStyle name="백분율 2 3" xfId="24"/>
    <cellStyle name="백분율 3" xfId="25"/>
    <cellStyle name="쉼표 [0] 2" xfId="26"/>
    <cellStyle name="쉼표 [0] 2 2" xfId="27"/>
    <cellStyle name="쉼표 [0] 2 2 2" xfId="28"/>
    <cellStyle name="쉼표 [0] 2 3" xfId="29"/>
    <cellStyle name="쉼표 [0] 2 4" xfId="30"/>
    <cellStyle name="쉼표 [0] 3" xfId="31"/>
    <cellStyle name="쉼표 [0] 3 2" xfId="32"/>
    <cellStyle name="쉼표 [0] 4" xfId="33"/>
    <cellStyle name="입력 2" xfId="34"/>
    <cellStyle name="제목 5" xfId="35"/>
    <cellStyle name="콤마 [0]_10' 0.26D MS" xfId="36"/>
    <cellStyle name="콤마_10' 0.26D MS" xfId="37"/>
    <cellStyle name="통화 [0] 2" xfId="38"/>
    <cellStyle name="통화 2" xfId="39"/>
    <cellStyle name="표준" xfId="0" builtinId="0"/>
    <cellStyle name="표준 10" xfId="40"/>
    <cellStyle name="표준 2" xfId="41"/>
    <cellStyle name="표준 2 2" xfId="42"/>
    <cellStyle name="표준 2 3" xfId="43"/>
    <cellStyle name="표준 2 4" xfId="44"/>
    <cellStyle name="표준 3" xfId="45"/>
    <cellStyle name="표준 3 2" xfId="46"/>
    <cellStyle name="표준 3 3" xfId="47"/>
    <cellStyle name="표준 4" xfId="48"/>
    <cellStyle name="표준 5" xfId="49"/>
    <cellStyle name="표준 6" xfId="50"/>
    <cellStyle name="표준 7" xfId="51"/>
    <cellStyle name="표준 8" xfId="52"/>
    <cellStyle name="표준 8 2" xfId="53"/>
    <cellStyle name="표준 9" xfId="54"/>
    <cellStyle name="표준 9 2" xfId="5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7</xdr:row>
          <xdr:rowOff>28575</xdr:rowOff>
        </xdr:from>
        <xdr:to>
          <xdr:col>15</xdr:col>
          <xdr:colOff>419100</xdr:colOff>
          <xdr:row>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 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11</xdr:row>
          <xdr:rowOff>9525</xdr:rowOff>
        </xdr:from>
        <xdr:to>
          <xdr:col>15</xdr:col>
          <xdr:colOff>523875</xdr:colOff>
          <xdr:row>13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등수 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15</xdr:row>
          <xdr:rowOff>114300</xdr:rowOff>
        </xdr:from>
        <xdr:to>
          <xdr:col>15</xdr:col>
          <xdr:colOff>609600</xdr:colOff>
          <xdr:row>18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열 숨김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20</xdr:row>
          <xdr:rowOff>9525</xdr:rowOff>
        </xdr:from>
        <xdr:to>
          <xdr:col>15</xdr:col>
          <xdr:colOff>400050</xdr:colOff>
          <xdr:row>24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열 숨김취소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29</xdr:row>
      <xdr:rowOff>57150</xdr:rowOff>
    </xdr:from>
    <xdr:to>
      <xdr:col>7</xdr:col>
      <xdr:colOff>371475</xdr:colOff>
      <xdr:row>32</xdr:row>
      <xdr:rowOff>152400</xdr:rowOff>
    </xdr:to>
    <xdr:sp macro="[0]!학과필터" textlink="">
      <xdr:nvSpPr>
        <xdr:cNvPr id="2" name="직사각형 1"/>
        <xdr:cNvSpPr/>
      </xdr:nvSpPr>
      <xdr:spPr>
        <a:xfrm>
          <a:off x="5019675" y="3162300"/>
          <a:ext cx="1733550" cy="723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학과 필터</a:t>
          </a:r>
        </a:p>
      </xdr:txBody>
    </xdr:sp>
    <xdr:clientData/>
  </xdr:twoCellAnchor>
  <xdr:twoCellAnchor>
    <xdr:from>
      <xdr:col>8</xdr:col>
      <xdr:colOff>342900</xdr:colOff>
      <xdr:row>29</xdr:row>
      <xdr:rowOff>76200</xdr:rowOff>
    </xdr:from>
    <xdr:to>
      <xdr:col>12</xdr:col>
      <xdr:colOff>180975</xdr:colOff>
      <xdr:row>33</xdr:row>
      <xdr:rowOff>9525</xdr:rowOff>
    </xdr:to>
    <xdr:sp macro="[0]!필터제거" textlink="">
      <xdr:nvSpPr>
        <xdr:cNvPr id="3" name="직사각형 2"/>
        <xdr:cNvSpPr/>
      </xdr:nvSpPr>
      <xdr:spPr>
        <a:xfrm>
          <a:off x="7439025" y="6838950"/>
          <a:ext cx="2085975" cy="771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필터</a:t>
          </a:r>
          <a:r>
            <a:rPr lang="ko-KR" altLang="en-US" sz="1100" baseline="0"/>
            <a:t> 제거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876300</xdr:colOff>
          <xdr:row>0</xdr:row>
          <xdr:rowOff>104775</xdr:rowOff>
        </xdr:from>
        <xdr:to>
          <xdr:col>9</xdr:col>
          <xdr:colOff>285750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분기별절대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95251</xdr:colOff>
      <xdr:row>4</xdr:row>
      <xdr:rowOff>95250</xdr:rowOff>
    </xdr:from>
    <xdr:to>
      <xdr:col>11</xdr:col>
      <xdr:colOff>85725</xdr:colOff>
      <xdr:row>14</xdr:row>
      <xdr:rowOff>180975</xdr:rowOff>
    </xdr:to>
    <xdr:sp macro="[0]!분기별합계_절대" textlink="">
      <xdr:nvSpPr>
        <xdr:cNvPr id="2" name="포인트가 5개인 별 1"/>
        <xdr:cNvSpPr/>
      </xdr:nvSpPr>
      <xdr:spPr>
        <a:xfrm>
          <a:off x="6305551" y="933450"/>
          <a:ext cx="2047874" cy="21812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분기별합계</a:t>
          </a:r>
          <a:r>
            <a:rPr lang="en-US" altLang="ko-KR" sz="1100"/>
            <a:t>_</a:t>
          </a:r>
          <a:r>
            <a:rPr lang="ko-KR" altLang="en-US" sz="1100"/>
            <a:t>절대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171450</xdr:rowOff>
        </xdr:from>
        <xdr:to>
          <xdr:col>8</xdr:col>
          <xdr:colOff>628650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분기별상대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647700</xdr:colOff>
      <xdr:row>18</xdr:row>
      <xdr:rowOff>9525</xdr:rowOff>
    </xdr:from>
    <xdr:to>
      <xdr:col>5</xdr:col>
      <xdr:colOff>752475</xdr:colOff>
      <xdr:row>21</xdr:row>
      <xdr:rowOff>9525</xdr:rowOff>
    </xdr:to>
    <xdr:sp macro="[0]!지점별합계_상대" textlink="">
      <xdr:nvSpPr>
        <xdr:cNvPr id="3" name="모서리가 둥근 직사각형 2"/>
        <xdr:cNvSpPr/>
      </xdr:nvSpPr>
      <xdr:spPr>
        <a:xfrm>
          <a:off x="3228975" y="3781425"/>
          <a:ext cx="1476375" cy="628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지점별합계</a:t>
          </a:r>
          <a:r>
            <a:rPr lang="en-US" altLang="ko-KR" sz="1100"/>
            <a:t>_</a:t>
          </a:r>
          <a:r>
            <a:rPr lang="ko-KR" altLang="en-US" sz="1100"/>
            <a:t>상대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50724;&#53916;&#48169;&#47928;&#49464;&#48120;&#45208;\&#45936;&#51060;&#53552;_&#54588;&#4827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건물임대"/>
      <sheetName val="직원명부"/>
      <sheetName val="성적자료"/>
      <sheetName val="유니폼"/>
      <sheetName val="관리비 통지서"/>
      <sheetName val="세대별 관리비"/>
      <sheetName val="2003년"/>
      <sheetName val="2004년"/>
      <sheetName val="2005년"/>
      <sheetName val="판매"/>
      <sheetName val="상반기"/>
      <sheetName val="하반기"/>
      <sheetName val="통합"/>
      <sheetName val="소스"/>
      <sheetName val="피벗테이블"/>
      <sheetName val="다중통합피벗"/>
      <sheetName val="1월"/>
      <sheetName val="2월"/>
      <sheetName val="3월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부서</v>
          </cell>
        </row>
        <row r="5">
          <cell r="A5" t="str">
            <v>홍보팀</v>
          </cell>
        </row>
        <row r="6">
          <cell r="A6" t="str">
            <v>인사팀</v>
          </cell>
        </row>
        <row r="7">
          <cell r="A7" t="str">
            <v>인사팀</v>
          </cell>
        </row>
        <row r="8">
          <cell r="A8" t="str">
            <v>기획팀</v>
          </cell>
        </row>
        <row r="9">
          <cell r="A9" t="str">
            <v>총무팀</v>
          </cell>
        </row>
        <row r="10">
          <cell r="A10" t="str">
            <v>인사팀</v>
          </cell>
        </row>
        <row r="11">
          <cell r="A11" t="str">
            <v>홍보팀</v>
          </cell>
        </row>
        <row r="12">
          <cell r="A12" t="str">
            <v>인사팀</v>
          </cell>
        </row>
        <row r="13">
          <cell r="A13" t="str">
            <v>기획팀</v>
          </cell>
        </row>
        <row r="14">
          <cell r="A14" t="str">
            <v>인사팀</v>
          </cell>
        </row>
        <row r="15">
          <cell r="A15" t="str">
            <v>총무팀</v>
          </cell>
        </row>
        <row r="16">
          <cell r="A16" t="str">
            <v>홍보팀</v>
          </cell>
        </row>
        <row r="17">
          <cell r="A17" t="str">
            <v>기획팀</v>
          </cell>
        </row>
        <row r="18">
          <cell r="A18" t="str">
            <v>총무팀</v>
          </cell>
        </row>
        <row r="19">
          <cell r="A19" t="str">
            <v>인사팀</v>
          </cell>
        </row>
        <row r="20">
          <cell r="A20" t="str">
            <v>기획팀</v>
          </cell>
        </row>
        <row r="21">
          <cell r="A21" t="str">
            <v>기획팀</v>
          </cell>
        </row>
        <row r="22">
          <cell r="A22" t="str">
            <v>총무팀</v>
          </cell>
        </row>
        <row r="23">
          <cell r="A23" t="str">
            <v>총무팀</v>
          </cell>
        </row>
        <row r="24">
          <cell r="A24" t="str">
            <v>기획팀</v>
          </cell>
        </row>
        <row r="25">
          <cell r="A25" t="str">
            <v>홍보팀</v>
          </cell>
        </row>
        <row r="26">
          <cell r="A26" t="str">
            <v>기획팀</v>
          </cell>
        </row>
        <row r="27">
          <cell r="A27" t="str">
            <v>인사팀</v>
          </cell>
        </row>
      </sheetData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3"/>
  <sheetViews>
    <sheetView workbookViewId="0">
      <selection activeCell="I27" sqref="I27"/>
    </sheetView>
  </sheetViews>
  <sheetFormatPr defaultRowHeight="16.5" x14ac:dyDescent="0.3"/>
  <cols>
    <col min="1" max="1" width="10.125" bestFit="1" customWidth="1"/>
    <col min="2" max="2" width="15.125" customWidth="1"/>
    <col min="3" max="3" width="16.5" customWidth="1"/>
    <col min="4" max="4" width="16.125" customWidth="1"/>
    <col min="5" max="5" width="7.375" customWidth="1"/>
    <col min="6" max="6" width="7.125" bestFit="1" customWidth="1"/>
    <col min="7" max="7" width="11.375" bestFit="1" customWidth="1"/>
    <col min="8" max="8" width="9.375" bestFit="1" customWidth="1"/>
    <col min="9" max="13" width="7.375" customWidth="1"/>
  </cols>
  <sheetData>
    <row r="1" spans="1:15" ht="39" x14ac:dyDescent="0.3">
      <c r="A1" s="7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3" spans="1:15" ht="18" customHeight="1" x14ac:dyDescent="0.3">
      <c r="A3" s="1" t="s">
        <v>1</v>
      </c>
      <c r="B3" s="2" t="s">
        <v>2</v>
      </c>
      <c r="C3" s="2" t="s">
        <v>4</v>
      </c>
      <c r="D3" s="2" t="s">
        <v>5</v>
      </c>
      <c r="E3" s="2" t="s">
        <v>3</v>
      </c>
      <c r="F3" s="2" t="s">
        <v>6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11</v>
      </c>
      <c r="L3" s="2" t="s">
        <v>12</v>
      </c>
      <c r="M3" s="2" t="s">
        <v>13</v>
      </c>
    </row>
    <row r="4" spans="1:15" ht="18" customHeight="1" x14ac:dyDescent="0.3">
      <c r="A4" s="3">
        <v>20131234</v>
      </c>
      <c r="B4" s="3" t="s">
        <v>14</v>
      </c>
      <c r="C4" s="3" t="s">
        <v>15</v>
      </c>
      <c r="D4" s="3" t="str">
        <f>IF(MID(C4,8,1)="1","남","여")</f>
        <v>여</v>
      </c>
      <c r="E4" s="3">
        <v>1</v>
      </c>
      <c r="F4" s="3" t="s">
        <v>16</v>
      </c>
      <c r="G4" s="4">
        <v>85</v>
      </c>
      <c r="H4" s="4">
        <v>75</v>
      </c>
      <c r="I4" s="4">
        <v>86</v>
      </c>
      <c r="J4" s="4">
        <f>SUM(G4:I4)</f>
        <v>246</v>
      </c>
      <c r="K4" s="4">
        <f>AVERAGE(G4:I4)</f>
        <v>82</v>
      </c>
      <c r="L4" s="4">
        <f>_xlfn.RANK.EQ(J4,$J$4:$J$23)</f>
        <v>9</v>
      </c>
      <c r="M4" s="3" t="s">
        <v>87</v>
      </c>
    </row>
    <row r="5" spans="1:15" ht="18" customHeight="1" x14ac:dyDescent="0.3">
      <c r="A5" s="3">
        <v>20131272</v>
      </c>
      <c r="B5" s="3" t="s">
        <v>17</v>
      </c>
      <c r="C5" s="3" t="s">
        <v>44</v>
      </c>
      <c r="D5" s="3" t="str">
        <f t="shared" ref="D5:D23" si="0">IF(MID(C5,8,1)="1","남","여")</f>
        <v>여</v>
      </c>
      <c r="E5" s="3">
        <v>1</v>
      </c>
      <c r="F5" s="3" t="s">
        <v>18</v>
      </c>
      <c r="G5" s="4">
        <v>75</v>
      </c>
      <c r="H5" s="4">
        <v>65</v>
      </c>
      <c r="I5" s="4">
        <v>78</v>
      </c>
      <c r="J5" s="4">
        <f t="shared" ref="J5:J23" si="1">SUM(G5:I5)</f>
        <v>218</v>
      </c>
      <c r="K5" s="4">
        <f t="shared" ref="K5:K23" si="2">AVERAGE(G5:I5)</f>
        <v>72.666666666666671</v>
      </c>
      <c r="L5" s="4">
        <f t="shared" ref="L5:L23" si="3">_xlfn.RANK.EQ(J5,$J$4:$J$23)</f>
        <v>14</v>
      </c>
      <c r="M5" s="3" t="s">
        <v>88</v>
      </c>
    </row>
    <row r="6" spans="1:15" ht="18" customHeight="1" x14ac:dyDescent="0.3">
      <c r="A6" s="3">
        <v>20131278</v>
      </c>
      <c r="B6" s="3" t="s">
        <v>17</v>
      </c>
      <c r="C6" s="3" t="s">
        <v>46</v>
      </c>
      <c r="D6" s="3" t="str">
        <f t="shared" si="0"/>
        <v>남</v>
      </c>
      <c r="E6" s="3">
        <v>1</v>
      </c>
      <c r="F6" s="3" t="s">
        <v>19</v>
      </c>
      <c r="G6" s="4">
        <v>96</v>
      </c>
      <c r="H6" s="4">
        <v>77</v>
      </c>
      <c r="I6" s="4">
        <v>67</v>
      </c>
      <c r="J6" s="4">
        <f t="shared" si="1"/>
        <v>240</v>
      </c>
      <c r="K6" s="4">
        <f t="shared" si="2"/>
        <v>80</v>
      </c>
      <c r="L6" s="4">
        <f t="shared" si="3"/>
        <v>11</v>
      </c>
      <c r="M6" s="3" t="s">
        <v>87</v>
      </c>
    </row>
    <row r="7" spans="1:15" ht="18" customHeight="1" x14ac:dyDescent="0.3">
      <c r="A7" s="3">
        <v>20113443</v>
      </c>
      <c r="B7" s="3" t="s">
        <v>20</v>
      </c>
      <c r="C7" s="3" t="s">
        <v>49</v>
      </c>
      <c r="D7" s="3" t="str">
        <f t="shared" si="0"/>
        <v>남</v>
      </c>
      <c r="E7" s="3">
        <v>3</v>
      </c>
      <c r="F7" s="3" t="s">
        <v>21</v>
      </c>
      <c r="G7" s="4">
        <v>45</v>
      </c>
      <c r="H7" s="4">
        <v>78</v>
      </c>
      <c r="I7" s="4">
        <v>56</v>
      </c>
      <c r="J7" s="4">
        <f t="shared" si="1"/>
        <v>179</v>
      </c>
      <c r="K7" s="4">
        <f t="shared" si="2"/>
        <v>59.666666666666664</v>
      </c>
      <c r="L7" s="4">
        <f t="shared" si="3"/>
        <v>18</v>
      </c>
      <c r="M7" s="3" t="s">
        <v>89</v>
      </c>
    </row>
    <row r="8" spans="1:15" ht="18" customHeight="1" x14ac:dyDescent="0.3">
      <c r="A8" s="3">
        <v>20133548</v>
      </c>
      <c r="B8" s="3" t="s">
        <v>20</v>
      </c>
      <c r="C8" s="3" t="s">
        <v>51</v>
      </c>
      <c r="D8" s="3" t="str">
        <f t="shared" si="0"/>
        <v>남</v>
      </c>
      <c r="E8" s="3">
        <v>1</v>
      </c>
      <c r="F8" s="3" t="s">
        <v>22</v>
      </c>
      <c r="G8" s="4">
        <v>86</v>
      </c>
      <c r="H8" s="4">
        <v>87</v>
      </c>
      <c r="I8" s="4">
        <v>86</v>
      </c>
      <c r="J8" s="4">
        <f t="shared" si="1"/>
        <v>259</v>
      </c>
      <c r="K8" s="4">
        <f t="shared" si="2"/>
        <v>86.333333333333329</v>
      </c>
      <c r="L8" s="4">
        <f t="shared" si="3"/>
        <v>6</v>
      </c>
      <c r="M8" s="3" t="s">
        <v>90</v>
      </c>
    </row>
    <row r="9" spans="1:15" ht="18" customHeight="1" x14ac:dyDescent="0.3">
      <c r="A9" s="3">
        <v>20133567</v>
      </c>
      <c r="B9" s="3" t="s">
        <v>20</v>
      </c>
      <c r="C9" s="3" t="s">
        <v>53</v>
      </c>
      <c r="D9" s="3" t="str">
        <f t="shared" si="0"/>
        <v>여</v>
      </c>
      <c r="E9" s="3">
        <v>1</v>
      </c>
      <c r="F9" s="3" t="s">
        <v>23</v>
      </c>
      <c r="G9" s="4">
        <v>100</v>
      </c>
      <c r="H9" s="4">
        <v>92</v>
      </c>
      <c r="I9" s="4">
        <v>96</v>
      </c>
      <c r="J9" s="4">
        <f t="shared" si="1"/>
        <v>288</v>
      </c>
      <c r="K9" s="4">
        <f t="shared" si="2"/>
        <v>96</v>
      </c>
      <c r="L9" s="4">
        <f t="shared" si="3"/>
        <v>3</v>
      </c>
      <c r="M9" s="3" t="s">
        <v>91</v>
      </c>
    </row>
    <row r="10" spans="1:15" ht="18" customHeight="1" x14ac:dyDescent="0.3">
      <c r="A10" s="3">
        <v>20133578</v>
      </c>
      <c r="B10" s="3" t="s">
        <v>20</v>
      </c>
      <c r="C10" s="3" t="s">
        <v>55</v>
      </c>
      <c r="D10" s="3" t="str">
        <f t="shared" si="0"/>
        <v>남</v>
      </c>
      <c r="E10" s="3">
        <v>1</v>
      </c>
      <c r="F10" s="3" t="s">
        <v>24</v>
      </c>
      <c r="G10" s="4">
        <v>87</v>
      </c>
      <c r="H10" s="4">
        <v>95</v>
      </c>
      <c r="I10" s="4">
        <v>92</v>
      </c>
      <c r="J10" s="4">
        <f t="shared" si="1"/>
        <v>274</v>
      </c>
      <c r="K10" s="4">
        <f t="shared" si="2"/>
        <v>91.333333333333329</v>
      </c>
      <c r="L10" s="4">
        <f t="shared" si="3"/>
        <v>4</v>
      </c>
      <c r="M10" s="3" t="s">
        <v>92</v>
      </c>
    </row>
    <row r="11" spans="1:15" ht="18" customHeight="1" x14ac:dyDescent="0.3">
      <c r="A11" s="3">
        <v>20094321</v>
      </c>
      <c r="B11" s="3" t="s">
        <v>25</v>
      </c>
      <c r="C11" s="3" t="s">
        <v>58</v>
      </c>
      <c r="D11" s="3" t="str">
        <f t="shared" si="0"/>
        <v>남</v>
      </c>
      <c r="E11" s="3">
        <v>4</v>
      </c>
      <c r="F11" s="3" t="s">
        <v>26</v>
      </c>
      <c r="G11" s="4">
        <v>68</v>
      </c>
      <c r="H11" s="4">
        <v>75</v>
      </c>
      <c r="I11" s="4">
        <v>78</v>
      </c>
      <c r="J11" s="4">
        <f t="shared" si="1"/>
        <v>221</v>
      </c>
      <c r="K11" s="4">
        <f t="shared" si="2"/>
        <v>73.666666666666671</v>
      </c>
      <c r="L11" s="4">
        <f t="shared" si="3"/>
        <v>13</v>
      </c>
      <c r="M11" s="3" t="s">
        <v>88</v>
      </c>
    </row>
    <row r="12" spans="1:15" ht="18" customHeight="1" x14ac:dyDescent="0.3">
      <c r="A12" s="3">
        <v>20124328</v>
      </c>
      <c r="B12" s="3" t="s">
        <v>25</v>
      </c>
      <c r="C12" s="3" t="s">
        <v>60</v>
      </c>
      <c r="D12" s="3" t="str">
        <f t="shared" si="0"/>
        <v>여</v>
      </c>
      <c r="E12" s="3">
        <v>2</v>
      </c>
      <c r="F12" s="3" t="s">
        <v>27</v>
      </c>
      <c r="G12" s="4">
        <v>99</v>
      </c>
      <c r="H12" s="4">
        <v>86</v>
      </c>
      <c r="I12" s="4">
        <v>86</v>
      </c>
      <c r="J12" s="4">
        <f t="shared" si="1"/>
        <v>271</v>
      </c>
      <c r="K12" s="4">
        <f t="shared" si="2"/>
        <v>90.333333333333329</v>
      </c>
      <c r="L12" s="4">
        <f t="shared" si="3"/>
        <v>5</v>
      </c>
      <c r="M12" s="3" t="s">
        <v>92</v>
      </c>
      <c r="O12" s="6"/>
    </row>
    <row r="13" spans="1:15" ht="18" customHeight="1" x14ac:dyDescent="0.3">
      <c r="A13" s="3">
        <v>20124333</v>
      </c>
      <c r="B13" s="3" t="s">
        <v>25</v>
      </c>
      <c r="C13" s="3" t="s">
        <v>62</v>
      </c>
      <c r="D13" s="3" t="str">
        <f t="shared" si="0"/>
        <v>여</v>
      </c>
      <c r="E13" s="3">
        <v>2</v>
      </c>
      <c r="F13" s="3" t="s">
        <v>28</v>
      </c>
      <c r="G13" s="4">
        <v>100</v>
      </c>
      <c r="H13" s="4">
        <v>95</v>
      </c>
      <c r="I13" s="4">
        <v>98</v>
      </c>
      <c r="J13" s="4">
        <f t="shared" si="1"/>
        <v>293</v>
      </c>
      <c r="K13" s="4">
        <f t="shared" si="2"/>
        <v>97.666666666666671</v>
      </c>
      <c r="L13" s="4">
        <f t="shared" si="3"/>
        <v>1</v>
      </c>
      <c r="M13" s="3" t="s">
        <v>91</v>
      </c>
    </row>
    <row r="14" spans="1:15" ht="18" customHeight="1" x14ac:dyDescent="0.3">
      <c r="A14" s="3">
        <v>20124334</v>
      </c>
      <c r="B14" s="3" t="s">
        <v>25</v>
      </c>
      <c r="C14" s="3" t="s">
        <v>64</v>
      </c>
      <c r="D14" s="3" t="str">
        <f t="shared" si="0"/>
        <v>남</v>
      </c>
      <c r="E14" s="3">
        <v>2</v>
      </c>
      <c r="F14" s="3" t="s">
        <v>29</v>
      </c>
      <c r="G14" s="4">
        <v>64</v>
      </c>
      <c r="H14" s="4">
        <v>52</v>
      </c>
      <c r="I14" s="4">
        <v>45</v>
      </c>
      <c r="J14" s="4">
        <f t="shared" si="1"/>
        <v>161</v>
      </c>
      <c r="K14" s="4">
        <f t="shared" si="2"/>
        <v>53.666666666666664</v>
      </c>
      <c r="L14" s="4">
        <f t="shared" si="3"/>
        <v>20</v>
      </c>
      <c r="M14" s="3" t="s">
        <v>89</v>
      </c>
    </row>
    <row r="15" spans="1:15" ht="18" customHeight="1" x14ac:dyDescent="0.3">
      <c r="A15" s="3">
        <v>20105643</v>
      </c>
      <c r="B15" s="3" t="s">
        <v>30</v>
      </c>
      <c r="C15" s="3" t="s">
        <v>67</v>
      </c>
      <c r="D15" s="3" t="str">
        <f t="shared" si="0"/>
        <v>여</v>
      </c>
      <c r="E15" s="3">
        <v>3</v>
      </c>
      <c r="F15" s="3" t="s">
        <v>31</v>
      </c>
      <c r="G15" s="4">
        <v>78</v>
      </c>
      <c r="H15" s="4">
        <v>88</v>
      </c>
      <c r="I15" s="4">
        <v>78</v>
      </c>
      <c r="J15" s="4">
        <f t="shared" si="1"/>
        <v>244</v>
      </c>
      <c r="K15" s="4">
        <f t="shared" si="2"/>
        <v>81.333333333333329</v>
      </c>
      <c r="L15" s="4">
        <f t="shared" si="3"/>
        <v>10</v>
      </c>
      <c r="M15" s="3" t="s">
        <v>87</v>
      </c>
    </row>
    <row r="16" spans="1:15" ht="18" customHeight="1" x14ac:dyDescent="0.3">
      <c r="A16" s="3">
        <v>20125432</v>
      </c>
      <c r="B16" s="3" t="s">
        <v>30</v>
      </c>
      <c r="C16" s="3" t="s">
        <v>69</v>
      </c>
      <c r="D16" s="3" t="str">
        <f t="shared" si="0"/>
        <v>여</v>
      </c>
      <c r="E16" s="3">
        <v>2</v>
      </c>
      <c r="F16" s="3" t="s">
        <v>32</v>
      </c>
      <c r="G16" s="4">
        <v>75</v>
      </c>
      <c r="H16" s="4">
        <v>83</v>
      </c>
      <c r="I16" s="4">
        <v>78</v>
      </c>
      <c r="J16" s="4">
        <f t="shared" si="1"/>
        <v>236</v>
      </c>
      <c r="K16" s="4">
        <f t="shared" si="2"/>
        <v>78.666666666666671</v>
      </c>
      <c r="L16" s="4">
        <f t="shared" si="3"/>
        <v>12</v>
      </c>
      <c r="M16" s="3" t="s">
        <v>93</v>
      </c>
    </row>
    <row r="17" spans="1:13" ht="18" customHeight="1" x14ac:dyDescent="0.3">
      <c r="A17" s="3">
        <v>20135441</v>
      </c>
      <c r="B17" s="3" t="s">
        <v>30</v>
      </c>
      <c r="C17" s="3" t="s">
        <v>71</v>
      </c>
      <c r="D17" s="3" t="str">
        <f t="shared" si="0"/>
        <v>여</v>
      </c>
      <c r="E17" s="3">
        <v>1</v>
      </c>
      <c r="F17" s="3" t="s">
        <v>33</v>
      </c>
      <c r="G17" s="4">
        <v>48</v>
      </c>
      <c r="H17" s="4">
        <v>95</v>
      </c>
      <c r="I17" s="4">
        <v>36</v>
      </c>
      <c r="J17" s="4">
        <f t="shared" si="1"/>
        <v>179</v>
      </c>
      <c r="K17" s="4">
        <f t="shared" si="2"/>
        <v>59.666666666666664</v>
      </c>
      <c r="L17" s="4">
        <f t="shared" si="3"/>
        <v>18</v>
      </c>
      <c r="M17" s="3" t="s">
        <v>89</v>
      </c>
    </row>
    <row r="18" spans="1:13" ht="18" customHeight="1" x14ac:dyDescent="0.3">
      <c r="A18" s="3">
        <v>20116432</v>
      </c>
      <c r="B18" s="3" t="s">
        <v>34</v>
      </c>
      <c r="C18" s="3" t="s">
        <v>74</v>
      </c>
      <c r="D18" s="3" t="str">
        <f t="shared" si="0"/>
        <v>여</v>
      </c>
      <c r="E18" s="3">
        <v>3</v>
      </c>
      <c r="F18" s="3" t="s">
        <v>35</v>
      </c>
      <c r="G18" s="4">
        <v>92</v>
      </c>
      <c r="H18" s="4">
        <v>78</v>
      </c>
      <c r="I18" s="4">
        <v>48</v>
      </c>
      <c r="J18" s="4">
        <f t="shared" si="1"/>
        <v>218</v>
      </c>
      <c r="K18" s="4">
        <f t="shared" si="2"/>
        <v>72.666666666666671</v>
      </c>
      <c r="L18" s="4">
        <f t="shared" si="3"/>
        <v>14</v>
      </c>
      <c r="M18" s="3" t="s">
        <v>88</v>
      </c>
    </row>
    <row r="19" spans="1:13" ht="18" customHeight="1" x14ac:dyDescent="0.3">
      <c r="A19" s="3">
        <v>20136743</v>
      </c>
      <c r="B19" s="3" t="s">
        <v>34</v>
      </c>
      <c r="C19" s="3" t="s">
        <v>76</v>
      </c>
      <c r="D19" s="3" t="str">
        <f t="shared" si="0"/>
        <v>여</v>
      </c>
      <c r="E19" s="3">
        <v>1</v>
      </c>
      <c r="F19" s="3" t="s">
        <v>36</v>
      </c>
      <c r="G19" s="4">
        <v>95</v>
      </c>
      <c r="H19" s="4">
        <v>96</v>
      </c>
      <c r="I19" s="4">
        <v>68</v>
      </c>
      <c r="J19" s="4">
        <f t="shared" si="1"/>
        <v>259</v>
      </c>
      <c r="K19" s="4">
        <f t="shared" si="2"/>
        <v>86.333333333333329</v>
      </c>
      <c r="L19" s="4">
        <f t="shared" si="3"/>
        <v>6</v>
      </c>
      <c r="M19" s="3" t="s">
        <v>90</v>
      </c>
    </row>
    <row r="20" spans="1:13" ht="18" customHeight="1" x14ac:dyDescent="0.3">
      <c r="A20" s="3">
        <v>20136744</v>
      </c>
      <c r="B20" s="3" t="s">
        <v>34</v>
      </c>
      <c r="C20" s="3" t="s">
        <v>78</v>
      </c>
      <c r="D20" s="3" t="str">
        <f t="shared" si="0"/>
        <v>여</v>
      </c>
      <c r="E20" s="3">
        <v>1</v>
      </c>
      <c r="F20" s="3" t="s">
        <v>37</v>
      </c>
      <c r="G20" s="4">
        <v>78</v>
      </c>
      <c r="H20" s="4">
        <v>54</v>
      </c>
      <c r="I20" s="4">
        <v>56</v>
      </c>
      <c r="J20" s="4">
        <f t="shared" si="1"/>
        <v>188</v>
      </c>
      <c r="K20" s="4">
        <f t="shared" si="2"/>
        <v>62.666666666666664</v>
      </c>
      <c r="L20" s="4">
        <f t="shared" si="3"/>
        <v>16</v>
      </c>
      <c r="M20" s="3" t="s">
        <v>94</v>
      </c>
    </row>
    <row r="21" spans="1:13" ht="18" customHeight="1" x14ac:dyDescent="0.3">
      <c r="A21" s="3">
        <v>20137565</v>
      </c>
      <c r="B21" s="3" t="s">
        <v>38</v>
      </c>
      <c r="C21" s="3" t="s">
        <v>81</v>
      </c>
      <c r="D21" s="3" t="str">
        <f t="shared" si="0"/>
        <v>여</v>
      </c>
      <c r="E21" s="3">
        <v>1</v>
      </c>
      <c r="F21" s="3" t="s">
        <v>39</v>
      </c>
      <c r="G21" s="4">
        <v>65</v>
      </c>
      <c r="H21" s="4">
        <v>97</v>
      </c>
      <c r="I21" s="4">
        <v>89</v>
      </c>
      <c r="J21" s="4">
        <f t="shared" si="1"/>
        <v>251</v>
      </c>
      <c r="K21" s="4">
        <f t="shared" si="2"/>
        <v>83.666666666666671</v>
      </c>
      <c r="L21" s="4">
        <f t="shared" si="3"/>
        <v>8</v>
      </c>
      <c r="M21" s="3" t="s">
        <v>87</v>
      </c>
    </row>
    <row r="22" spans="1:13" ht="18" customHeight="1" x14ac:dyDescent="0.3">
      <c r="A22" s="3">
        <v>20137570</v>
      </c>
      <c r="B22" s="3" t="s">
        <v>38</v>
      </c>
      <c r="C22" s="3" t="s">
        <v>83</v>
      </c>
      <c r="D22" s="3" t="str">
        <f t="shared" si="0"/>
        <v>남</v>
      </c>
      <c r="E22" s="3">
        <v>1</v>
      </c>
      <c r="F22" s="3" t="s">
        <v>40</v>
      </c>
      <c r="G22" s="4">
        <v>92</v>
      </c>
      <c r="H22" s="4">
        <v>98</v>
      </c>
      <c r="I22" s="4">
        <v>99</v>
      </c>
      <c r="J22" s="4">
        <f t="shared" si="1"/>
        <v>289</v>
      </c>
      <c r="K22" s="4">
        <f t="shared" si="2"/>
        <v>96.333333333333329</v>
      </c>
      <c r="L22" s="4">
        <f t="shared" si="3"/>
        <v>2</v>
      </c>
      <c r="M22" s="3" t="s">
        <v>91</v>
      </c>
    </row>
    <row r="23" spans="1:13" ht="18" customHeight="1" x14ac:dyDescent="0.3">
      <c r="A23" s="3">
        <v>20137573</v>
      </c>
      <c r="B23" s="3" t="s">
        <v>38</v>
      </c>
      <c r="C23" s="3" t="s">
        <v>85</v>
      </c>
      <c r="D23" s="3" t="str">
        <f t="shared" si="0"/>
        <v>남</v>
      </c>
      <c r="E23" s="3">
        <v>1</v>
      </c>
      <c r="F23" s="3" t="s">
        <v>41</v>
      </c>
      <c r="G23" s="4">
        <v>56</v>
      </c>
      <c r="H23" s="4">
        <v>48</v>
      </c>
      <c r="I23" s="4">
        <v>78</v>
      </c>
      <c r="J23" s="4">
        <f t="shared" si="1"/>
        <v>182</v>
      </c>
      <c r="K23" s="4">
        <f t="shared" si="2"/>
        <v>60.666666666666664</v>
      </c>
      <c r="L23" s="4">
        <f t="shared" si="3"/>
        <v>17</v>
      </c>
      <c r="M23" s="3" t="s">
        <v>94</v>
      </c>
    </row>
  </sheetData>
  <autoFilter ref="A3:M23"/>
  <mergeCells count="1">
    <mergeCell ref="A1:M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총점계산">
                <anchor moveWithCells="1">
                  <from>
                    <xdr:col>13</xdr:col>
                    <xdr:colOff>466725</xdr:colOff>
                    <xdr:row>7</xdr:row>
                    <xdr:rowOff>28575</xdr:rowOff>
                  </from>
                  <to>
                    <xdr:col>15</xdr:col>
                    <xdr:colOff>419100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등수계산">
                <anchor moveWithCells="1" sizeWithCells="1">
                  <from>
                    <xdr:col>13</xdr:col>
                    <xdr:colOff>514350</xdr:colOff>
                    <xdr:row>11</xdr:row>
                    <xdr:rowOff>9525</xdr:rowOff>
                  </from>
                  <to>
                    <xdr:col>15</xdr:col>
                    <xdr:colOff>523875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열숨김">
                <anchor moveWithCells="1" sizeWithCells="1">
                  <from>
                    <xdr:col>13</xdr:col>
                    <xdr:colOff>400050</xdr:colOff>
                    <xdr:row>15</xdr:row>
                    <xdr:rowOff>114300</xdr:rowOff>
                  </from>
                  <to>
                    <xdr:col>15</xdr:col>
                    <xdr:colOff>609600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열숨김취소">
                <anchor moveWithCells="1" sizeWithCells="1">
                  <from>
                    <xdr:col>13</xdr:col>
                    <xdr:colOff>190500</xdr:colOff>
                    <xdr:row>20</xdr:row>
                    <xdr:rowOff>9525</xdr:rowOff>
                  </from>
                  <to>
                    <xdr:col>15</xdr:col>
                    <xdr:colOff>400050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3"/>
  <sheetViews>
    <sheetView tabSelected="1" workbookViewId="0">
      <selection activeCell="B25" sqref="B25"/>
    </sheetView>
  </sheetViews>
  <sheetFormatPr defaultRowHeight="16.5" x14ac:dyDescent="0.3"/>
  <cols>
    <col min="1" max="1" width="10.125" bestFit="1" customWidth="1"/>
    <col min="2" max="2" width="15.125" bestFit="1" customWidth="1"/>
    <col min="3" max="3" width="7.375" customWidth="1"/>
    <col min="4" max="4" width="7.125" bestFit="1" customWidth="1"/>
    <col min="5" max="5" width="11.375" bestFit="1" customWidth="1"/>
    <col min="6" max="6" width="9.375" bestFit="1" customWidth="1"/>
    <col min="7" max="11" width="7.375" customWidth="1"/>
  </cols>
  <sheetData>
    <row r="1" spans="1:11" ht="39" x14ac:dyDescent="0.3">
      <c r="A1" s="7" t="s">
        <v>42</v>
      </c>
      <c r="B1" s="8"/>
      <c r="C1" s="8"/>
      <c r="D1" s="8"/>
      <c r="E1" s="8"/>
      <c r="F1" s="8"/>
      <c r="G1" s="8"/>
      <c r="H1" s="8"/>
      <c r="I1" s="8"/>
      <c r="J1" s="8"/>
      <c r="K1" s="8"/>
    </row>
    <row r="3" spans="1:11" ht="18" customHeight="1" x14ac:dyDescent="0.3">
      <c r="A3" s="1" t="s">
        <v>1</v>
      </c>
      <c r="B3" s="2" t="s">
        <v>2</v>
      </c>
      <c r="C3" s="2" t="s">
        <v>3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</row>
    <row r="4" spans="1:11" ht="18" customHeight="1" x14ac:dyDescent="0.3">
      <c r="A4" s="3">
        <v>20131234</v>
      </c>
      <c r="B4" s="3" t="s">
        <v>14</v>
      </c>
      <c r="C4" s="3">
        <v>1</v>
      </c>
      <c r="D4" s="3" t="s">
        <v>16</v>
      </c>
      <c r="E4" s="4">
        <v>85</v>
      </c>
      <c r="F4" s="4">
        <v>75</v>
      </c>
      <c r="G4" s="4">
        <v>86</v>
      </c>
      <c r="H4" s="4">
        <f>SUM(E4:G4)</f>
        <v>246</v>
      </c>
      <c r="I4" s="4">
        <f>AVERAGE(E4:G4)</f>
        <v>82</v>
      </c>
      <c r="J4" s="4">
        <f>_xlfn.RANK.EQ(I4,$I$4:$I$23)</f>
        <v>9</v>
      </c>
      <c r="K4" s="3" t="s">
        <v>87</v>
      </c>
    </row>
    <row r="5" spans="1:11" ht="18" customHeight="1" x14ac:dyDescent="0.3">
      <c r="A5" s="3">
        <v>20131272</v>
      </c>
      <c r="B5" s="3" t="s">
        <v>43</v>
      </c>
      <c r="C5" s="3">
        <v>1</v>
      </c>
      <c r="D5" s="3" t="s">
        <v>45</v>
      </c>
      <c r="E5" s="4">
        <v>75</v>
      </c>
      <c r="F5" s="4">
        <v>65</v>
      </c>
      <c r="G5" s="4">
        <v>78</v>
      </c>
      <c r="H5" s="4">
        <f t="shared" ref="H5:H23" si="0">SUM(E5:G5)</f>
        <v>218</v>
      </c>
      <c r="I5" s="4">
        <f t="shared" ref="I5:I23" si="1">AVERAGE(E5:G5)</f>
        <v>72.666666666666671</v>
      </c>
      <c r="J5" s="4">
        <f t="shared" ref="J5:J23" si="2">_xlfn.RANK.EQ(I5,$I$4:$I$23)</f>
        <v>14</v>
      </c>
      <c r="K5" s="3" t="s">
        <v>88</v>
      </c>
    </row>
    <row r="6" spans="1:11" ht="18" customHeight="1" x14ac:dyDescent="0.3">
      <c r="A6" s="3">
        <v>20131278</v>
      </c>
      <c r="B6" s="3" t="s">
        <v>14</v>
      </c>
      <c r="C6" s="3">
        <v>1</v>
      </c>
      <c r="D6" s="3" t="s">
        <v>47</v>
      </c>
      <c r="E6" s="4">
        <v>96</v>
      </c>
      <c r="F6" s="4">
        <v>77</v>
      </c>
      <c r="G6" s="4">
        <v>67</v>
      </c>
      <c r="H6" s="4">
        <f t="shared" si="0"/>
        <v>240</v>
      </c>
      <c r="I6" s="4">
        <f t="shared" si="1"/>
        <v>80</v>
      </c>
      <c r="J6" s="4">
        <f t="shared" si="2"/>
        <v>11</v>
      </c>
      <c r="K6" s="3" t="s">
        <v>87</v>
      </c>
    </row>
    <row r="7" spans="1:11" ht="18" customHeight="1" x14ac:dyDescent="0.3">
      <c r="A7" s="3">
        <v>20113443</v>
      </c>
      <c r="B7" s="3" t="s">
        <v>48</v>
      </c>
      <c r="C7" s="3">
        <v>3</v>
      </c>
      <c r="D7" s="3" t="s">
        <v>50</v>
      </c>
      <c r="E7" s="4">
        <v>45</v>
      </c>
      <c r="F7" s="4">
        <v>78</v>
      </c>
      <c r="G7" s="4">
        <v>56</v>
      </c>
      <c r="H7" s="4">
        <f t="shared" si="0"/>
        <v>179</v>
      </c>
      <c r="I7" s="4">
        <f t="shared" si="1"/>
        <v>59.666666666666664</v>
      </c>
      <c r="J7" s="4">
        <f t="shared" si="2"/>
        <v>18</v>
      </c>
      <c r="K7" s="3" t="s">
        <v>89</v>
      </c>
    </row>
    <row r="8" spans="1:11" ht="18" customHeight="1" x14ac:dyDescent="0.3">
      <c r="A8" s="3">
        <v>20133548</v>
      </c>
      <c r="B8" s="3" t="s">
        <v>48</v>
      </c>
      <c r="C8" s="3">
        <v>1</v>
      </c>
      <c r="D8" s="3" t="s">
        <v>52</v>
      </c>
      <c r="E8" s="4">
        <v>86</v>
      </c>
      <c r="F8" s="4">
        <v>87</v>
      </c>
      <c r="G8" s="4">
        <v>86</v>
      </c>
      <c r="H8" s="4">
        <f t="shared" si="0"/>
        <v>259</v>
      </c>
      <c r="I8" s="4">
        <f t="shared" si="1"/>
        <v>86.333333333333329</v>
      </c>
      <c r="J8" s="4">
        <f t="shared" si="2"/>
        <v>6</v>
      </c>
      <c r="K8" s="3" t="s">
        <v>90</v>
      </c>
    </row>
    <row r="9" spans="1:11" ht="18" customHeight="1" x14ac:dyDescent="0.3">
      <c r="A9" s="3">
        <v>20133567</v>
      </c>
      <c r="B9" s="3" t="s">
        <v>48</v>
      </c>
      <c r="C9" s="3">
        <v>1</v>
      </c>
      <c r="D9" s="3" t="s">
        <v>54</v>
      </c>
      <c r="E9" s="4">
        <v>100</v>
      </c>
      <c r="F9" s="4">
        <v>92</v>
      </c>
      <c r="G9" s="4">
        <v>96</v>
      </c>
      <c r="H9" s="4">
        <f t="shared" si="0"/>
        <v>288</v>
      </c>
      <c r="I9" s="4">
        <f t="shared" si="1"/>
        <v>96</v>
      </c>
      <c r="J9" s="4">
        <f t="shared" si="2"/>
        <v>3</v>
      </c>
      <c r="K9" s="3" t="s">
        <v>91</v>
      </c>
    </row>
    <row r="10" spans="1:11" ht="18" customHeight="1" x14ac:dyDescent="0.3">
      <c r="A10" s="3">
        <v>20133578</v>
      </c>
      <c r="B10" s="3" t="s">
        <v>48</v>
      </c>
      <c r="C10" s="3">
        <v>1</v>
      </c>
      <c r="D10" s="3" t="s">
        <v>56</v>
      </c>
      <c r="E10" s="4">
        <v>87</v>
      </c>
      <c r="F10" s="4">
        <v>95</v>
      </c>
      <c r="G10" s="4">
        <v>92</v>
      </c>
      <c r="H10" s="4">
        <f t="shared" si="0"/>
        <v>274</v>
      </c>
      <c r="I10" s="4">
        <f t="shared" si="1"/>
        <v>91.333333333333329</v>
      </c>
      <c r="J10" s="4">
        <f t="shared" si="2"/>
        <v>4</v>
      </c>
      <c r="K10" s="3" t="s">
        <v>92</v>
      </c>
    </row>
    <row r="11" spans="1:11" ht="18" customHeight="1" x14ac:dyDescent="0.3">
      <c r="A11" s="3">
        <v>20094321</v>
      </c>
      <c r="B11" s="3" t="s">
        <v>57</v>
      </c>
      <c r="C11" s="3">
        <v>4</v>
      </c>
      <c r="D11" s="3" t="s">
        <v>59</v>
      </c>
      <c r="E11" s="4">
        <v>68</v>
      </c>
      <c r="F11" s="4">
        <v>75</v>
      </c>
      <c r="G11" s="4">
        <v>78</v>
      </c>
      <c r="H11" s="4">
        <f t="shared" si="0"/>
        <v>221</v>
      </c>
      <c r="I11" s="4">
        <f t="shared" si="1"/>
        <v>73.666666666666671</v>
      </c>
      <c r="J11" s="4">
        <f t="shared" si="2"/>
        <v>13</v>
      </c>
      <c r="K11" s="3" t="s">
        <v>88</v>
      </c>
    </row>
    <row r="12" spans="1:11" ht="18" customHeight="1" x14ac:dyDescent="0.3">
      <c r="A12" s="3">
        <v>20124328</v>
      </c>
      <c r="B12" s="3" t="s">
        <v>57</v>
      </c>
      <c r="C12" s="3">
        <v>2</v>
      </c>
      <c r="D12" s="3" t="s">
        <v>61</v>
      </c>
      <c r="E12" s="4">
        <v>99</v>
      </c>
      <c r="F12" s="4">
        <v>86</v>
      </c>
      <c r="G12" s="4">
        <v>86</v>
      </c>
      <c r="H12" s="4">
        <f t="shared" si="0"/>
        <v>271</v>
      </c>
      <c r="I12" s="4">
        <f t="shared" si="1"/>
        <v>90.333333333333329</v>
      </c>
      <c r="J12" s="4">
        <f t="shared" si="2"/>
        <v>5</v>
      </c>
      <c r="K12" s="3" t="s">
        <v>92</v>
      </c>
    </row>
    <row r="13" spans="1:11" ht="18" customHeight="1" x14ac:dyDescent="0.3">
      <c r="A13" s="3">
        <v>20124333</v>
      </c>
      <c r="B13" s="3" t="s">
        <v>57</v>
      </c>
      <c r="C13" s="3">
        <v>2</v>
      </c>
      <c r="D13" s="3" t="s">
        <v>63</v>
      </c>
      <c r="E13" s="4">
        <v>100</v>
      </c>
      <c r="F13" s="4">
        <v>95</v>
      </c>
      <c r="G13" s="4">
        <v>98</v>
      </c>
      <c r="H13" s="4">
        <f t="shared" si="0"/>
        <v>293</v>
      </c>
      <c r="I13" s="4">
        <f t="shared" si="1"/>
        <v>97.666666666666671</v>
      </c>
      <c r="J13" s="4">
        <f t="shared" si="2"/>
        <v>1</v>
      </c>
      <c r="K13" s="3" t="s">
        <v>91</v>
      </c>
    </row>
    <row r="14" spans="1:11" ht="18" customHeight="1" x14ac:dyDescent="0.3">
      <c r="A14" s="3">
        <v>20124334</v>
      </c>
      <c r="B14" s="3" t="s">
        <v>57</v>
      </c>
      <c r="C14" s="3">
        <v>2</v>
      </c>
      <c r="D14" s="3" t="s">
        <v>65</v>
      </c>
      <c r="E14" s="4">
        <v>64</v>
      </c>
      <c r="F14" s="4">
        <v>52</v>
      </c>
      <c r="G14" s="4">
        <v>45</v>
      </c>
      <c r="H14" s="4">
        <f t="shared" si="0"/>
        <v>161</v>
      </c>
      <c r="I14" s="4">
        <f t="shared" si="1"/>
        <v>53.666666666666664</v>
      </c>
      <c r="J14" s="4">
        <f t="shared" si="2"/>
        <v>20</v>
      </c>
      <c r="K14" s="3" t="s">
        <v>89</v>
      </c>
    </row>
    <row r="15" spans="1:11" ht="18" customHeight="1" x14ac:dyDescent="0.3">
      <c r="A15" s="3">
        <v>20105643</v>
      </c>
      <c r="B15" s="3" t="s">
        <v>66</v>
      </c>
      <c r="C15" s="3">
        <v>3</v>
      </c>
      <c r="D15" s="3" t="s">
        <v>68</v>
      </c>
      <c r="E15" s="4">
        <v>78</v>
      </c>
      <c r="F15" s="4">
        <v>88</v>
      </c>
      <c r="G15" s="4">
        <v>78</v>
      </c>
      <c r="H15" s="4">
        <f t="shared" si="0"/>
        <v>244</v>
      </c>
      <c r="I15" s="4">
        <f t="shared" si="1"/>
        <v>81.333333333333329</v>
      </c>
      <c r="J15" s="4">
        <f t="shared" si="2"/>
        <v>10</v>
      </c>
      <c r="K15" s="3" t="s">
        <v>87</v>
      </c>
    </row>
    <row r="16" spans="1:11" ht="18" customHeight="1" x14ac:dyDescent="0.3">
      <c r="A16" s="3">
        <v>20125432</v>
      </c>
      <c r="B16" s="3" t="s">
        <v>66</v>
      </c>
      <c r="C16" s="3">
        <v>2</v>
      </c>
      <c r="D16" s="3" t="s">
        <v>70</v>
      </c>
      <c r="E16" s="4">
        <v>75</v>
      </c>
      <c r="F16" s="4">
        <v>83</v>
      </c>
      <c r="G16" s="4">
        <v>78</v>
      </c>
      <c r="H16" s="4">
        <f t="shared" si="0"/>
        <v>236</v>
      </c>
      <c r="I16" s="4">
        <f t="shared" si="1"/>
        <v>78.666666666666671</v>
      </c>
      <c r="J16" s="4">
        <f t="shared" si="2"/>
        <v>12</v>
      </c>
      <c r="K16" s="3" t="s">
        <v>93</v>
      </c>
    </row>
    <row r="17" spans="1:11" ht="18" customHeight="1" x14ac:dyDescent="0.3">
      <c r="A17" s="3">
        <v>20135441</v>
      </c>
      <c r="B17" s="3" t="s">
        <v>66</v>
      </c>
      <c r="C17" s="3">
        <v>1</v>
      </c>
      <c r="D17" s="3" t="s">
        <v>72</v>
      </c>
      <c r="E17" s="4">
        <v>48</v>
      </c>
      <c r="F17" s="4">
        <v>95</v>
      </c>
      <c r="G17" s="4">
        <v>36</v>
      </c>
      <c r="H17" s="4">
        <f t="shared" si="0"/>
        <v>179</v>
      </c>
      <c r="I17" s="4">
        <f t="shared" si="1"/>
        <v>59.666666666666664</v>
      </c>
      <c r="J17" s="4">
        <f t="shared" si="2"/>
        <v>18</v>
      </c>
      <c r="K17" s="3" t="s">
        <v>89</v>
      </c>
    </row>
    <row r="18" spans="1:11" ht="18" customHeight="1" x14ac:dyDescent="0.3">
      <c r="A18" s="3">
        <v>20116432</v>
      </c>
      <c r="B18" s="3" t="s">
        <v>73</v>
      </c>
      <c r="C18" s="3">
        <v>3</v>
      </c>
      <c r="D18" s="3" t="s">
        <v>75</v>
      </c>
      <c r="E18" s="4">
        <v>92</v>
      </c>
      <c r="F18" s="4">
        <v>78</v>
      </c>
      <c r="G18" s="4">
        <v>48</v>
      </c>
      <c r="H18" s="4">
        <f t="shared" si="0"/>
        <v>218</v>
      </c>
      <c r="I18" s="4">
        <f t="shared" si="1"/>
        <v>72.666666666666671</v>
      </c>
      <c r="J18" s="4">
        <f t="shared" si="2"/>
        <v>14</v>
      </c>
      <c r="K18" s="3" t="s">
        <v>88</v>
      </c>
    </row>
    <row r="19" spans="1:11" ht="18" customHeight="1" x14ac:dyDescent="0.3">
      <c r="A19" s="3">
        <v>20136743</v>
      </c>
      <c r="B19" s="3" t="s">
        <v>73</v>
      </c>
      <c r="C19" s="3">
        <v>1</v>
      </c>
      <c r="D19" s="3" t="s">
        <v>77</v>
      </c>
      <c r="E19" s="4">
        <v>95</v>
      </c>
      <c r="F19" s="4">
        <v>96</v>
      </c>
      <c r="G19" s="4">
        <v>68</v>
      </c>
      <c r="H19" s="4">
        <f t="shared" si="0"/>
        <v>259</v>
      </c>
      <c r="I19" s="4">
        <f t="shared" si="1"/>
        <v>86.333333333333329</v>
      </c>
      <c r="J19" s="4">
        <f t="shared" si="2"/>
        <v>6</v>
      </c>
      <c r="K19" s="3" t="s">
        <v>90</v>
      </c>
    </row>
    <row r="20" spans="1:11" ht="18" customHeight="1" x14ac:dyDescent="0.3">
      <c r="A20" s="3">
        <v>20136744</v>
      </c>
      <c r="B20" s="3" t="s">
        <v>73</v>
      </c>
      <c r="C20" s="3">
        <v>1</v>
      </c>
      <c r="D20" s="3" t="s">
        <v>79</v>
      </c>
      <c r="E20" s="4">
        <v>78</v>
      </c>
      <c r="F20" s="4">
        <v>54</v>
      </c>
      <c r="G20" s="4">
        <v>56</v>
      </c>
      <c r="H20" s="4">
        <f t="shared" si="0"/>
        <v>188</v>
      </c>
      <c r="I20" s="4">
        <f t="shared" si="1"/>
        <v>62.666666666666664</v>
      </c>
      <c r="J20" s="4">
        <f t="shared" si="2"/>
        <v>16</v>
      </c>
      <c r="K20" s="3" t="s">
        <v>94</v>
      </c>
    </row>
    <row r="21" spans="1:11" ht="18" customHeight="1" x14ac:dyDescent="0.3">
      <c r="A21" s="3">
        <v>20137565</v>
      </c>
      <c r="B21" s="3" t="s">
        <v>80</v>
      </c>
      <c r="C21" s="3">
        <v>1</v>
      </c>
      <c r="D21" s="3" t="s">
        <v>82</v>
      </c>
      <c r="E21" s="4">
        <v>65</v>
      </c>
      <c r="F21" s="4">
        <v>97</v>
      </c>
      <c r="G21" s="4">
        <v>89</v>
      </c>
      <c r="H21" s="4">
        <f t="shared" si="0"/>
        <v>251</v>
      </c>
      <c r="I21" s="4">
        <f t="shared" si="1"/>
        <v>83.666666666666671</v>
      </c>
      <c r="J21" s="4">
        <f t="shared" si="2"/>
        <v>8</v>
      </c>
      <c r="K21" s="3" t="s">
        <v>87</v>
      </c>
    </row>
    <row r="22" spans="1:11" ht="18" customHeight="1" x14ac:dyDescent="0.3">
      <c r="A22" s="3">
        <v>20137570</v>
      </c>
      <c r="B22" s="3" t="s">
        <v>80</v>
      </c>
      <c r="C22" s="3">
        <v>1</v>
      </c>
      <c r="D22" s="3" t="s">
        <v>84</v>
      </c>
      <c r="E22" s="4">
        <v>92</v>
      </c>
      <c r="F22" s="4">
        <v>98</v>
      </c>
      <c r="G22" s="4">
        <v>99</v>
      </c>
      <c r="H22" s="4">
        <f t="shared" si="0"/>
        <v>289</v>
      </c>
      <c r="I22" s="4">
        <f t="shared" si="1"/>
        <v>96.333333333333329</v>
      </c>
      <c r="J22" s="4">
        <f t="shared" si="2"/>
        <v>2</v>
      </c>
      <c r="K22" s="3" t="s">
        <v>91</v>
      </c>
    </row>
    <row r="23" spans="1:11" ht="18" customHeight="1" x14ac:dyDescent="0.3">
      <c r="A23" s="3">
        <v>20137573</v>
      </c>
      <c r="B23" s="3" t="s">
        <v>80</v>
      </c>
      <c r="C23" s="3">
        <v>1</v>
      </c>
      <c r="D23" s="3" t="s">
        <v>86</v>
      </c>
      <c r="E23" s="4">
        <v>56</v>
      </c>
      <c r="F23" s="4">
        <v>48</v>
      </c>
      <c r="G23" s="4">
        <v>78</v>
      </c>
      <c r="H23" s="4">
        <f t="shared" si="0"/>
        <v>182</v>
      </c>
      <c r="I23" s="4">
        <f t="shared" si="1"/>
        <v>60.666666666666664</v>
      </c>
      <c r="J23" s="4">
        <f t="shared" si="2"/>
        <v>17</v>
      </c>
      <c r="K23" s="3" t="s">
        <v>94</v>
      </c>
    </row>
  </sheetData>
  <mergeCells count="1">
    <mergeCell ref="A1:K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workbookViewId="0">
      <selection activeCell="H6" sqref="H6"/>
    </sheetView>
  </sheetViews>
  <sheetFormatPr defaultRowHeight="16.5" x14ac:dyDescent="0.3"/>
  <cols>
    <col min="1" max="1" width="15.875" bestFit="1" customWidth="1"/>
    <col min="6" max="6" width="11.625" bestFit="1" customWidth="1"/>
  </cols>
  <sheetData>
    <row r="1" spans="1:9" x14ac:dyDescent="0.3">
      <c r="A1" s="5" t="s">
        <v>95</v>
      </c>
      <c r="B1" s="5"/>
      <c r="C1" s="5"/>
      <c r="D1" s="5"/>
      <c r="E1" s="5"/>
      <c r="F1" s="5"/>
    </row>
    <row r="2" spans="1:9" x14ac:dyDescent="0.3">
      <c r="A2" s="5"/>
      <c r="B2" s="5"/>
      <c r="C2" s="5"/>
      <c r="D2" s="5"/>
      <c r="E2" s="5"/>
      <c r="F2" s="5"/>
    </row>
    <row r="3" spans="1:9" x14ac:dyDescent="0.3">
      <c r="A3" s="5"/>
      <c r="B3" s="5" t="s">
        <v>101</v>
      </c>
      <c r="C3" s="5" t="s">
        <v>102</v>
      </c>
      <c r="D3" s="5" t="s">
        <v>103</v>
      </c>
      <c r="E3" s="5" t="s">
        <v>104</v>
      </c>
      <c r="F3" s="5" t="s">
        <v>105</v>
      </c>
    </row>
    <row r="4" spans="1:9" x14ac:dyDescent="0.3">
      <c r="A4" s="5" t="s">
        <v>96</v>
      </c>
      <c r="B4" s="5">
        <v>123</v>
      </c>
      <c r="C4" s="5">
        <v>164</v>
      </c>
      <c r="D4" s="5">
        <v>159</v>
      </c>
      <c r="E4" s="5">
        <v>170</v>
      </c>
      <c r="F4" s="5">
        <f t="shared" ref="F4:F9" si="0">SUM(B4:E4)</f>
        <v>616</v>
      </c>
    </row>
    <row r="5" spans="1:9" x14ac:dyDescent="0.3">
      <c r="A5" s="5" t="s">
        <v>97</v>
      </c>
      <c r="B5" s="5">
        <v>129</v>
      </c>
      <c r="C5" s="5">
        <v>137</v>
      </c>
      <c r="D5" s="5">
        <v>147</v>
      </c>
      <c r="E5" s="5">
        <v>149</v>
      </c>
      <c r="F5" s="5">
        <f t="shared" si="0"/>
        <v>562</v>
      </c>
    </row>
    <row r="6" spans="1:9" x14ac:dyDescent="0.3">
      <c r="A6" s="5" t="s">
        <v>98</v>
      </c>
      <c r="B6" s="5">
        <v>125</v>
      </c>
      <c r="C6" s="5">
        <v>108</v>
      </c>
      <c r="D6" s="5">
        <v>167</v>
      </c>
      <c r="E6" s="5">
        <v>137</v>
      </c>
      <c r="F6" s="5">
        <f t="shared" si="0"/>
        <v>537</v>
      </c>
    </row>
    <row r="7" spans="1:9" x14ac:dyDescent="0.3">
      <c r="A7" s="5" t="s">
        <v>99</v>
      </c>
      <c r="B7" s="5">
        <v>175</v>
      </c>
      <c r="C7" s="5">
        <v>164</v>
      </c>
      <c r="D7" s="5">
        <v>186</v>
      </c>
      <c r="E7" s="5">
        <v>158</v>
      </c>
      <c r="F7" s="5">
        <f t="shared" si="0"/>
        <v>683</v>
      </c>
    </row>
    <row r="8" spans="1:9" x14ac:dyDescent="0.3">
      <c r="A8" s="5" t="s">
        <v>100</v>
      </c>
      <c r="B8" s="5">
        <v>164</v>
      </c>
      <c r="C8" s="5">
        <v>156</v>
      </c>
      <c r="D8" s="5">
        <v>108</v>
      </c>
      <c r="E8" s="5">
        <v>160</v>
      </c>
      <c r="F8" s="5">
        <f t="shared" si="0"/>
        <v>588</v>
      </c>
    </row>
    <row r="9" spans="1:9" x14ac:dyDescent="0.3">
      <c r="A9" s="5" t="s">
        <v>106</v>
      </c>
      <c r="B9" s="5">
        <f>SUM(B4:B8)</f>
        <v>716</v>
      </c>
      <c r="C9" s="5">
        <f>SUM(C4:C8)</f>
        <v>729</v>
      </c>
      <c r="D9" s="5">
        <f>SUM(D4:D8)</f>
        <v>767</v>
      </c>
      <c r="E9" s="5">
        <f>SUM(E4:E8)</f>
        <v>774</v>
      </c>
      <c r="F9" s="5">
        <f t="shared" si="0"/>
        <v>2986</v>
      </c>
    </row>
    <row r="10" spans="1:9" x14ac:dyDescent="0.3">
      <c r="I10">
        <f>SUM(E10:H10)</f>
        <v>0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분기별합계_절대">
                <anchor moveWithCells="1">
                  <from>
                    <xdr:col>5</xdr:col>
                    <xdr:colOff>876300</xdr:colOff>
                    <xdr:row>0</xdr:row>
                    <xdr:rowOff>104775</xdr:rowOff>
                  </from>
                  <to>
                    <xdr:col>9</xdr:col>
                    <xdr:colOff>285750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분기별합계_상대">
                <anchor moveWithCells="1">
                  <from>
                    <xdr:col>6</xdr:col>
                    <xdr:colOff>114300</xdr:colOff>
                    <xdr:row>4</xdr:row>
                    <xdr:rowOff>171450</xdr:rowOff>
                  </from>
                  <to>
                    <xdr:col>8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매크로</vt:lpstr>
      <vt:lpstr>8장연습문제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Jong-Ho</dc:creator>
  <cp:lastModifiedBy>GU</cp:lastModifiedBy>
  <dcterms:created xsi:type="dcterms:W3CDTF">2013-09-22T01:49:37Z</dcterms:created>
  <dcterms:modified xsi:type="dcterms:W3CDTF">2016-04-26T10:07:32Z</dcterms:modified>
</cp:coreProperties>
</file>